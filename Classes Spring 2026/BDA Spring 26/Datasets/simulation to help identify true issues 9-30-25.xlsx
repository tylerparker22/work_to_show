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2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Ex3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5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6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Ex4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harts/chartEx5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charts/chart7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hbrown11\Desktop\"/>
    </mc:Choice>
  </mc:AlternateContent>
  <xr:revisionPtr revIDLastSave="0" documentId="13_ncr:1_{D421ACE5-6EDC-4488-B1F3-3C3860F604F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no issues" sheetId="1" r:id="rId1"/>
    <sheet name="1 outlier" sheetId="2" r:id="rId2"/>
    <sheet name="trend" sheetId="3" r:id="rId3"/>
    <sheet name="scatterplot outlier" sheetId="4" r:id="rId4"/>
  </sheets>
  <definedNames>
    <definedName name="_xlchart.v1.0" hidden="1">'no issues'!$A$2</definedName>
    <definedName name="_xlchart.v1.1" hidden="1">'no issues'!$A$3:$A$205</definedName>
    <definedName name="_xlchart.v1.2" hidden="1">'1 outlier'!$A$2</definedName>
    <definedName name="_xlchart.v1.3" hidden="1">'1 outlier'!$A$3:$A$205</definedName>
    <definedName name="_xlchart.v1.4" hidden="1">trend!$A$2</definedName>
    <definedName name="_xlchart.v1.5" hidden="1">trend!$A$3:$A$205</definedName>
    <definedName name="_xlchart.v1.6" hidden="1">'scatterplot outlier'!$B$2</definedName>
    <definedName name="_xlchart.v1.7" hidden="1">'scatterplot outlier'!$B$3:$B$100</definedName>
    <definedName name="_xlchart.v1.8" hidden="1">'scatterplot outlier'!$A$2</definedName>
    <definedName name="_xlchart.v1.9" hidden="1">'scatterplot outlier'!$A$3:$A$100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4" i="4" l="1"/>
  <c r="B4" i="4" s="1"/>
  <c r="A5" i="4"/>
  <c r="B5" i="4" s="1"/>
  <c r="A6" i="4"/>
  <c r="B6" i="4" s="1"/>
  <c r="A7" i="4"/>
  <c r="B7" i="4" s="1"/>
  <c r="A8" i="4"/>
  <c r="B8" i="4" s="1"/>
  <c r="A9" i="4"/>
  <c r="B9" i="4" s="1"/>
  <c r="A10" i="4"/>
  <c r="B10" i="4" s="1"/>
  <c r="A11" i="4"/>
  <c r="B11" i="4" s="1"/>
  <c r="A12" i="4"/>
  <c r="B12" i="4" s="1"/>
  <c r="A13" i="4"/>
  <c r="B13" i="4" s="1"/>
  <c r="A14" i="4"/>
  <c r="B14" i="4" s="1"/>
  <c r="A15" i="4"/>
  <c r="B15" i="4" s="1"/>
  <c r="A16" i="4"/>
  <c r="B16" i="4" s="1"/>
  <c r="A17" i="4"/>
  <c r="B17" i="4" s="1"/>
  <c r="A18" i="4"/>
  <c r="B18" i="4" s="1"/>
  <c r="A19" i="4"/>
  <c r="B19" i="4" s="1"/>
  <c r="A20" i="4"/>
  <c r="B20" i="4" s="1"/>
  <c r="A21" i="4"/>
  <c r="B21" i="4" s="1"/>
  <c r="A22" i="4"/>
  <c r="B22" i="4" s="1"/>
  <c r="A23" i="4"/>
  <c r="B23" i="4" s="1"/>
  <c r="A24" i="4"/>
  <c r="B24" i="4" s="1"/>
  <c r="A25" i="4"/>
  <c r="B25" i="4" s="1"/>
  <c r="A26" i="4"/>
  <c r="B26" i="4" s="1"/>
  <c r="A27" i="4"/>
  <c r="B27" i="4" s="1"/>
  <c r="A28" i="4"/>
  <c r="B28" i="4" s="1"/>
  <c r="A29" i="4"/>
  <c r="B29" i="4" s="1"/>
  <c r="A30" i="4"/>
  <c r="B30" i="4" s="1"/>
  <c r="A31" i="4"/>
  <c r="B31" i="4" s="1"/>
  <c r="A32" i="4"/>
  <c r="B32" i="4" s="1"/>
  <c r="A33" i="4"/>
  <c r="B33" i="4" s="1"/>
  <c r="A34" i="4"/>
  <c r="B34" i="4" s="1"/>
  <c r="A35" i="4"/>
  <c r="B35" i="4" s="1"/>
  <c r="A36" i="4"/>
  <c r="B36" i="4" s="1"/>
  <c r="A37" i="4"/>
  <c r="B37" i="4" s="1"/>
  <c r="A38" i="4"/>
  <c r="B38" i="4" s="1"/>
  <c r="A39" i="4"/>
  <c r="B39" i="4" s="1"/>
  <c r="A40" i="4"/>
  <c r="B40" i="4" s="1"/>
  <c r="A41" i="4"/>
  <c r="B41" i="4" s="1"/>
  <c r="A42" i="4"/>
  <c r="B42" i="4" s="1"/>
  <c r="A43" i="4"/>
  <c r="B43" i="4" s="1"/>
  <c r="A44" i="4"/>
  <c r="B44" i="4" s="1"/>
  <c r="A45" i="4"/>
  <c r="B45" i="4" s="1"/>
  <c r="A46" i="4"/>
  <c r="B46" i="4" s="1"/>
  <c r="A47" i="4"/>
  <c r="B47" i="4" s="1"/>
  <c r="A48" i="4"/>
  <c r="B48" i="4" s="1"/>
  <c r="A49" i="4"/>
  <c r="B49" i="4" s="1"/>
  <c r="A50" i="4"/>
  <c r="B50" i="4" s="1"/>
  <c r="A51" i="4"/>
  <c r="B51" i="4" s="1"/>
  <c r="A52" i="4"/>
  <c r="B52" i="4" s="1"/>
  <c r="A53" i="4"/>
  <c r="B53" i="4" s="1"/>
  <c r="A54" i="4"/>
  <c r="B54" i="4" s="1"/>
  <c r="A55" i="4"/>
  <c r="B55" i="4" s="1"/>
  <c r="A56" i="4"/>
  <c r="B56" i="4" s="1"/>
  <c r="A57" i="4"/>
  <c r="B57" i="4" s="1"/>
  <c r="A58" i="4"/>
  <c r="B58" i="4" s="1"/>
  <c r="A59" i="4"/>
  <c r="B59" i="4" s="1"/>
  <c r="A60" i="4"/>
  <c r="B60" i="4" s="1"/>
  <c r="A61" i="4"/>
  <c r="B61" i="4" s="1"/>
  <c r="A62" i="4"/>
  <c r="B62" i="4" s="1"/>
  <c r="A63" i="4"/>
  <c r="B63" i="4" s="1"/>
  <c r="A64" i="4"/>
  <c r="B64" i="4" s="1"/>
  <c r="A65" i="4"/>
  <c r="B65" i="4" s="1"/>
  <c r="A66" i="4"/>
  <c r="B66" i="4" s="1"/>
  <c r="A67" i="4"/>
  <c r="B67" i="4" s="1"/>
  <c r="A68" i="4"/>
  <c r="B68" i="4" s="1"/>
  <c r="A69" i="4"/>
  <c r="B69" i="4" s="1"/>
  <c r="A70" i="4"/>
  <c r="B70" i="4" s="1"/>
  <c r="A71" i="4"/>
  <c r="B71" i="4" s="1"/>
  <c r="A72" i="4"/>
  <c r="B72" i="4" s="1"/>
  <c r="A73" i="4"/>
  <c r="B73" i="4" s="1"/>
  <c r="A74" i="4"/>
  <c r="B74" i="4" s="1"/>
  <c r="A75" i="4"/>
  <c r="B75" i="4" s="1"/>
  <c r="A76" i="4"/>
  <c r="B76" i="4" s="1"/>
  <c r="A78" i="4"/>
  <c r="B78" i="4" s="1"/>
  <c r="A79" i="4"/>
  <c r="B79" i="4" s="1"/>
  <c r="A80" i="4"/>
  <c r="B80" i="4" s="1"/>
  <c r="A81" i="4"/>
  <c r="B81" i="4" s="1"/>
  <c r="A82" i="4"/>
  <c r="B82" i="4" s="1"/>
  <c r="A83" i="4"/>
  <c r="B83" i="4" s="1"/>
  <c r="A84" i="4"/>
  <c r="B84" i="4" s="1"/>
  <c r="A85" i="4"/>
  <c r="B85" i="4" s="1"/>
  <c r="A86" i="4"/>
  <c r="B86" i="4" s="1"/>
  <c r="A87" i="4"/>
  <c r="B87" i="4" s="1"/>
  <c r="A88" i="4"/>
  <c r="B88" i="4" s="1"/>
  <c r="A89" i="4"/>
  <c r="B89" i="4" s="1"/>
  <c r="A90" i="4"/>
  <c r="B90" i="4" s="1"/>
  <c r="A91" i="4"/>
  <c r="B91" i="4" s="1"/>
  <c r="A92" i="4"/>
  <c r="B92" i="4" s="1"/>
  <c r="A93" i="4"/>
  <c r="B93" i="4" s="1"/>
  <c r="A94" i="4"/>
  <c r="B94" i="4" s="1"/>
  <c r="A95" i="4"/>
  <c r="B95" i="4" s="1"/>
  <c r="A96" i="4"/>
  <c r="B96" i="4" s="1"/>
  <c r="A97" i="4"/>
  <c r="B97" i="4" s="1"/>
  <c r="A98" i="4"/>
  <c r="B98" i="4" s="1"/>
  <c r="A99" i="4"/>
  <c r="B99" i="4" s="1"/>
  <c r="A100" i="4"/>
  <c r="B100" i="4" s="1"/>
  <c r="A3" i="4"/>
  <c r="B3" i="4" s="1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33" i="3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205" i="3"/>
  <c r="A204" i="3"/>
  <c r="A203" i="3"/>
  <c r="A202" i="3"/>
  <c r="A201" i="3"/>
  <c r="A200" i="3"/>
  <c r="A199" i="3"/>
  <c r="A198" i="3"/>
  <c r="A197" i="3"/>
  <c r="A196" i="3"/>
  <c r="A195" i="3"/>
  <c r="A194" i="3"/>
  <c r="A193" i="3"/>
  <c r="A192" i="3"/>
  <c r="A191" i="3"/>
  <c r="A190" i="3"/>
  <c r="A189" i="3"/>
  <c r="A188" i="3"/>
  <c r="A187" i="3"/>
  <c r="A186" i="3"/>
  <c r="A185" i="3"/>
  <c r="A184" i="3"/>
  <c r="A183" i="3"/>
  <c r="A182" i="3"/>
  <c r="A181" i="3"/>
  <c r="A180" i="3"/>
  <c r="A179" i="3"/>
  <c r="A178" i="3"/>
  <c r="A177" i="3"/>
  <c r="A176" i="3"/>
  <c r="A175" i="3"/>
  <c r="A174" i="3"/>
  <c r="A173" i="3"/>
  <c r="A172" i="3"/>
  <c r="A171" i="3"/>
  <c r="A170" i="3"/>
  <c r="A169" i="3"/>
  <c r="A168" i="3"/>
  <c r="A167" i="3"/>
  <c r="A166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D6" i="3" s="1"/>
  <c r="A5" i="3"/>
  <c r="A4" i="3"/>
  <c r="A3" i="3"/>
  <c r="A30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D6" i="2" s="1"/>
  <c r="A5" i="2"/>
  <c r="A4" i="2"/>
  <c r="A3" i="2"/>
  <c r="A4" i="1"/>
  <c r="A5" i="1"/>
  <c r="A6" i="1"/>
  <c r="D6" i="1" s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3" i="1"/>
  <c r="D4" i="2" l="1"/>
  <c r="D2" i="2"/>
  <c r="D7" i="2"/>
  <c r="D3" i="2"/>
  <c r="D5" i="2"/>
  <c r="D4" i="1"/>
  <c r="D5" i="1"/>
  <c r="D7" i="1"/>
  <c r="D2" i="1"/>
  <c r="D3" i="1"/>
  <c r="D3" i="3" l="1"/>
  <c r="D7" i="3" l="1"/>
  <c r="D4" i="3"/>
  <c r="D5" i="3"/>
  <c r="D2" i="3"/>
</calcChain>
</file>

<file path=xl/sharedStrings.xml><?xml version="1.0" encoding="utf-8"?>
<sst xmlns="http://schemas.openxmlformats.org/spreadsheetml/2006/main" count="23" uniqueCount="9">
  <si>
    <t>No Issues</t>
  </si>
  <si>
    <t>Mean</t>
  </si>
  <si>
    <t>Stdev</t>
  </si>
  <si>
    <t>Max</t>
  </si>
  <si>
    <t>Min</t>
  </si>
  <si>
    <t>Med</t>
  </si>
  <si>
    <t>Mode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</si>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</sst>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 Issues Run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'no issues'!$A$2</c:f>
              <c:strCache>
                <c:ptCount val="1"/>
                <c:pt idx="0">
                  <c:v>No Issues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'no issues'!$A$3:$A$205</c:f>
              <c:numCache>
                <c:formatCode>General</c:formatCode>
                <c:ptCount val="203"/>
                <c:pt idx="0">
                  <c:v>177.76960599384779</c:v>
                </c:pt>
                <c:pt idx="1">
                  <c:v>182.43963381513501</c:v>
                </c:pt>
                <c:pt idx="2">
                  <c:v>195.91588789024988</c:v>
                </c:pt>
                <c:pt idx="3">
                  <c:v>174.18298017339097</c:v>
                </c:pt>
                <c:pt idx="4">
                  <c:v>176.18831904784449</c:v>
                </c:pt>
                <c:pt idx="5">
                  <c:v>179.9626329474018</c:v>
                </c:pt>
                <c:pt idx="6">
                  <c:v>184.53273199030147</c:v>
                </c:pt>
                <c:pt idx="7">
                  <c:v>178.79201369872368</c:v>
                </c:pt>
                <c:pt idx="8">
                  <c:v>189.36461559720098</c:v>
                </c:pt>
                <c:pt idx="9">
                  <c:v>180.50337944189641</c:v>
                </c:pt>
                <c:pt idx="10">
                  <c:v>177.21015478657088</c:v>
                </c:pt>
                <c:pt idx="11">
                  <c:v>181.01470866200319</c:v>
                </c:pt>
                <c:pt idx="12">
                  <c:v>169.02566893269082</c:v>
                </c:pt>
                <c:pt idx="13">
                  <c:v>187.11786131842825</c:v>
                </c:pt>
                <c:pt idx="14">
                  <c:v>170.77137852874441</c:v>
                </c:pt>
                <c:pt idx="15">
                  <c:v>184.35015469369353</c:v>
                </c:pt>
                <c:pt idx="16">
                  <c:v>170.61699859771696</c:v>
                </c:pt>
                <c:pt idx="17">
                  <c:v>183.40863760351735</c:v>
                </c:pt>
                <c:pt idx="18">
                  <c:v>193.48081961706322</c:v>
                </c:pt>
                <c:pt idx="19">
                  <c:v>178.40280715963183</c:v>
                </c:pt>
                <c:pt idx="20">
                  <c:v>177.40564401425527</c:v>
                </c:pt>
                <c:pt idx="21">
                  <c:v>170.3966908757067</c:v>
                </c:pt>
                <c:pt idx="22">
                  <c:v>179.11529580475079</c:v>
                </c:pt>
                <c:pt idx="23">
                  <c:v>183.88724212705873</c:v>
                </c:pt>
                <c:pt idx="24">
                  <c:v>193.0152723369844</c:v>
                </c:pt>
                <c:pt idx="25">
                  <c:v>184.80178344114466</c:v>
                </c:pt>
                <c:pt idx="26">
                  <c:v>183.60242897452949</c:v>
                </c:pt>
                <c:pt idx="27">
                  <c:v>183.62120899786478</c:v>
                </c:pt>
                <c:pt idx="28">
                  <c:v>176.20867317019542</c:v>
                </c:pt>
                <c:pt idx="29">
                  <c:v>185.5192170516269</c:v>
                </c:pt>
                <c:pt idx="30">
                  <c:v>170.14483166129673</c:v>
                </c:pt>
                <c:pt idx="31">
                  <c:v>185.76885989221765</c:v>
                </c:pt>
                <c:pt idx="32">
                  <c:v>175.09489088081565</c:v>
                </c:pt>
                <c:pt idx="33">
                  <c:v>174.45579647738404</c:v>
                </c:pt>
                <c:pt idx="34">
                  <c:v>176.54534028235761</c:v>
                </c:pt>
                <c:pt idx="35">
                  <c:v>178.45978804031526</c:v>
                </c:pt>
                <c:pt idx="36">
                  <c:v>175.05482860163875</c:v>
                </c:pt>
                <c:pt idx="37">
                  <c:v>191.65949469775148</c:v>
                </c:pt>
                <c:pt idx="38">
                  <c:v>176.3588091768963</c:v>
                </c:pt>
                <c:pt idx="39">
                  <c:v>180.78351508446246</c:v>
                </c:pt>
                <c:pt idx="40">
                  <c:v>179.95327277338114</c:v>
                </c:pt>
                <c:pt idx="41">
                  <c:v>174.09014944940785</c:v>
                </c:pt>
                <c:pt idx="42">
                  <c:v>181.79360108032535</c:v>
                </c:pt>
                <c:pt idx="43">
                  <c:v>176.69008502355311</c:v>
                </c:pt>
                <c:pt idx="44">
                  <c:v>189.90897614952499</c:v>
                </c:pt>
                <c:pt idx="45">
                  <c:v>187.30014968358665</c:v>
                </c:pt>
                <c:pt idx="46">
                  <c:v>172.21064271456794</c:v>
                </c:pt>
                <c:pt idx="47">
                  <c:v>190.12912168401127</c:v>
                </c:pt>
                <c:pt idx="48">
                  <c:v>184.62378775757401</c:v>
                </c:pt>
                <c:pt idx="49">
                  <c:v>179.77993864886079</c:v>
                </c:pt>
                <c:pt idx="50">
                  <c:v>167.62381428513822</c:v>
                </c:pt>
                <c:pt idx="51">
                  <c:v>175.62562975260573</c:v>
                </c:pt>
                <c:pt idx="52">
                  <c:v>183.03562156798088</c:v>
                </c:pt>
                <c:pt idx="53">
                  <c:v>174.77436208379319</c:v>
                </c:pt>
                <c:pt idx="54">
                  <c:v>190.37828710186588</c:v>
                </c:pt>
                <c:pt idx="55">
                  <c:v>179.1713589070564</c:v>
                </c:pt>
                <c:pt idx="56">
                  <c:v>173.98766281576044</c:v>
                </c:pt>
                <c:pt idx="57">
                  <c:v>184.04629041344126</c:v>
                </c:pt>
                <c:pt idx="58">
                  <c:v>176.02830613396952</c:v>
                </c:pt>
                <c:pt idx="59">
                  <c:v>167.16668184539404</c:v>
                </c:pt>
                <c:pt idx="60">
                  <c:v>183.94444786695212</c:v>
                </c:pt>
                <c:pt idx="61">
                  <c:v>189.28343904523433</c:v>
                </c:pt>
                <c:pt idx="62">
                  <c:v>181.49006062721983</c:v>
                </c:pt>
                <c:pt idx="63">
                  <c:v>182.2503888070647</c:v>
                </c:pt>
                <c:pt idx="64">
                  <c:v>176.68886829449886</c:v>
                </c:pt>
                <c:pt idx="65">
                  <c:v>176.81954030800159</c:v>
                </c:pt>
                <c:pt idx="66">
                  <c:v>178.65453472435786</c:v>
                </c:pt>
                <c:pt idx="67">
                  <c:v>179.24173066664335</c:v>
                </c:pt>
                <c:pt idx="68">
                  <c:v>173.08861052722969</c:v>
                </c:pt>
                <c:pt idx="69">
                  <c:v>179.67868405720742</c:v>
                </c:pt>
                <c:pt idx="70">
                  <c:v>176.41134065900573</c:v>
                </c:pt>
                <c:pt idx="71">
                  <c:v>179.1830318439327</c:v>
                </c:pt>
                <c:pt idx="72">
                  <c:v>170.99145324734243</c:v>
                </c:pt>
                <c:pt idx="73">
                  <c:v>189.37988776087769</c:v>
                </c:pt>
                <c:pt idx="74">
                  <c:v>182.21933590215909</c:v>
                </c:pt>
                <c:pt idx="75">
                  <c:v>191.16415349053685</c:v>
                </c:pt>
                <c:pt idx="76">
                  <c:v>190.72717283898496</c:v>
                </c:pt>
                <c:pt idx="77">
                  <c:v>190.7125959695806</c:v>
                </c:pt>
                <c:pt idx="78">
                  <c:v>183.34220568827217</c:v>
                </c:pt>
                <c:pt idx="79">
                  <c:v>176.23199843068593</c:v>
                </c:pt>
                <c:pt idx="80">
                  <c:v>186.03542159407212</c:v>
                </c:pt>
                <c:pt idx="81">
                  <c:v>175.1203663808256</c:v>
                </c:pt>
                <c:pt idx="82">
                  <c:v>183.98870253971288</c:v>
                </c:pt>
                <c:pt idx="83">
                  <c:v>188.22449383993126</c:v>
                </c:pt>
                <c:pt idx="84">
                  <c:v>177.5057960712339</c:v>
                </c:pt>
                <c:pt idx="85">
                  <c:v>176.97524571965633</c:v>
                </c:pt>
                <c:pt idx="86">
                  <c:v>173.83540562162366</c:v>
                </c:pt>
                <c:pt idx="87">
                  <c:v>183.73108252512782</c:v>
                </c:pt>
                <c:pt idx="88">
                  <c:v>178.23242347517558</c:v>
                </c:pt>
                <c:pt idx="89">
                  <c:v>190.04371965487908</c:v>
                </c:pt>
                <c:pt idx="90">
                  <c:v>180.80959971925654</c:v>
                </c:pt>
                <c:pt idx="91">
                  <c:v>187.5407229804164</c:v>
                </c:pt>
                <c:pt idx="92">
                  <c:v>191.73983044079395</c:v>
                </c:pt>
                <c:pt idx="93">
                  <c:v>187.54698716767442</c:v>
                </c:pt>
                <c:pt idx="94">
                  <c:v>191.87413215961013</c:v>
                </c:pt>
                <c:pt idx="95">
                  <c:v>180.03174530453836</c:v>
                </c:pt>
                <c:pt idx="96">
                  <c:v>182.0347054807722</c:v>
                </c:pt>
                <c:pt idx="97">
                  <c:v>182.76801146532625</c:v>
                </c:pt>
                <c:pt idx="98">
                  <c:v>181.92610770145018</c:v>
                </c:pt>
                <c:pt idx="99">
                  <c:v>185.80562389442215</c:v>
                </c:pt>
                <c:pt idx="100">
                  <c:v>177.7767163834522</c:v>
                </c:pt>
                <c:pt idx="101">
                  <c:v>169.67614783962253</c:v>
                </c:pt>
                <c:pt idx="102">
                  <c:v>189.86383017413129</c:v>
                </c:pt>
                <c:pt idx="103">
                  <c:v>189.89079556243681</c:v>
                </c:pt>
                <c:pt idx="104">
                  <c:v>175.03309400046354</c:v>
                </c:pt>
                <c:pt idx="105">
                  <c:v>184.67212106432234</c:v>
                </c:pt>
                <c:pt idx="106">
                  <c:v>172.03993279636921</c:v>
                </c:pt>
                <c:pt idx="107">
                  <c:v>166.59226662680243</c:v>
                </c:pt>
                <c:pt idx="108">
                  <c:v>182.70670370632951</c:v>
                </c:pt>
                <c:pt idx="109">
                  <c:v>180.28696565690908</c:v>
                </c:pt>
                <c:pt idx="110">
                  <c:v>176.53115123930576</c:v>
                </c:pt>
                <c:pt idx="111">
                  <c:v>181.3189626327746</c:v>
                </c:pt>
                <c:pt idx="112">
                  <c:v>176.03458714244201</c:v>
                </c:pt>
                <c:pt idx="113">
                  <c:v>176.14503844829278</c:v>
                </c:pt>
                <c:pt idx="114">
                  <c:v>179.19182103650246</c:v>
                </c:pt>
                <c:pt idx="115">
                  <c:v>187.99538331831877</c:v>
                </c:pt>
                <c:pt idx="116">
                  <c:v>172.73719778807069</c:v>
                </c:pt>
                <c:pt idx="117">
                  <c:v>187.35716236710763</c:v>
                </c:pt>
                <c:pt idx="118">
                  <c:v>181.06896240423688</c:v>
                </c:pt>
                <c:pt idx="119">
                  <c:v>182.96020076730002</c:v>
                </c:pt>
                <c:pt idx="120">
                  <c:v>169.57348841529279</c:v>
                </c:pt>
                <c:pt idx="121">
                  <c:v>177.18297283683799</c:v>
                </c:pt>
                <c:pt idx="122">
                  <c:v>173.63145383685213</c:v>
                </c:pt>
                <c:pt idx="123">
                  <c:v>174.21862583964648</c:v>
                </c:pt>
                <c:pt idx="124">
                  <c:v>174.71068231335624</c:v>
                </c:pt>
                <c:pt idx="125">
                  <c:v>175.44636189107572</c:v>
                </c:pt>
                <c:pt idx="126">
                  <c:v>179.38147857777824</c:v>
                </c:pt>
                <c:pt idx="127">
                  <c:v>177.69456044022624</c:v>
                </c:pt>
                <c:pt idx="128">
                  <c:v>179.47176416406651</c:v>
                </c:pt>
                <c:pt idx="129">
                  <c:v>178.28121089233227</c:v>
                </c:pt>
                <c:pt idx="130">
                  <c:v>179.76649961482701</c:v>
                </c:pt>
                <c:pt idx="131">
                  <c:v>178.25835790918788</c:v>
                </c:pt>
                <c:pt idx="132">
                  <c:v>178.35704866542252</c:v>
                </c:pt>
                <c:pt idx="133">
                  <c:v>175.3639693671777</c:v>
                </c:pt>
                <c:pt idx="134">
                  <c:v>182.66421952210356</c:v>
                </c:pt>
                <c:pt idx="135">
                  <c:v>188.36265398274611</c:v>
                </c:pt>
                <c:pt idx="136">
                  <c:v>190.88058887992457</c:v>
                </c:pt>
                <c:pt idx="137">
                  <c:v>188.76870395095253</c:v>
                </c:pt>
                <c:pt idx="138">
                  <c:v>176.89107542244471</c:v>
                </c:pt>
                <c:pt idx="139">
                  <c:v>179.00649011634766</c:v>
                </c:pt>
                <c:pt idx="140">
                  <c:v>179.27057347638168</c:v>
                </c:pt>
                <c:pt idx="141">
                  <c:v>187.21865735425783</c:v>
                </c:pt>
                <c:pt idx="142">
                  <c:v>179.9396854199293</c:v>
                </c:pt>
                <c:pt idx="143">
                  <c:v>181.49390912501141</c:v>
                </c:pt>
                <c:pt idx="144">
                  <c:v>173.35616941619386</c:v>
                </c:pt>
                <c:pt idx="145">
                  <c:v>178.006019205396</c:v>
                </c:pt>
                <c:pt idx="146">
                  <c:v>182.38978503415117</c:v>
                </c:pt>
                <c:pt idx="147">
                  <c:v>182.98492067310247</c:v>
                </c:pt>
                <c:pt idx="148">
                  <c:v>178.53942933747308</c:v>
                </c:pt>
                <c:pt idx="149">
                  <c:v>171.32892719571686</c:v>
                </c:pt>
                <c:pt idx="150">
                  <c:v>176.37447475639794</c:v>
                </c:pt>
                <c:pt idx="151">
                  <c:v>185.34372142625054</c:v>
                </c:pt>
                <c:pt idx="152">
                  <c:v>186.76999951712671</c:v>
                </c:pt>
                <c:pt idx="153">
                  <c:v>180.25603295409576</c:v>
                </c:pt>
                <c:pt idx="154">
                  <c:v>182.42516554310669</c:v>
                </c:pt>
                <c:pt idx="155">
                  <c:v>184.00068551882515</c:v>
                </c:pt>
                <c:pt idx="156">
                  <c:v>183.63126508181477</c:v>
                </c:pt>
                <c:pt idx="157">
                  <c:v>174.79548668689239</c:v>
                </c:pt>
                <c:pt idx="158">
                  <c:v>187.83583359331746</c:v>
                </c:pt>
                <c:pt idx="159">
                  <c:v>176.90604642162896</c:v>
                </c:pt>
                <c:pt idx="160">
                  <c:v>175.04695334972382</c:v>
                </c:pt>
                <c:pt idx="161">
                  <c:v>172.7528895980476</c:v>
                </c:pt>
                <c:pt idx="162">
                  <c:v>194.84634479931873</c:v>
                </c:pt>
                <c:pt idx="163">
                  <c:v>183.94309991867672</c:v>
                </c:pt>
                <c:pt idx="164">
                  <c:v>167.02406257229856</c:v>
                </c:pt>
                <c:pt idx="165">
                  <c:v>173.60511472745088</c:v>
                </c:pt>
                <c:pt idx="166">
                  <c:v>176.66095508369077</c:v>
                </c:pt>
                <c:pt idx="167">
                  <c:v>181.93389224753946</c:v>
                </c:pt>
                <c:pt idx="168">
                  <c:v>185.68154277878733</c:v>
                </c:pt>
                <c:pt idx="169">
                  <c:v>177.39812216676685</c:v>
                </c:pt>
                <c:pt idx="170">
                  <c:v>179.11339312095933</c:v>
                </c:pt>
                <c:pt idx="171">
                  <c:v>176.47210725535055</c:v>
                </c:pt>
                <c:pt idx="172">
                  <c:v>181.0762313206157</c:v>
                </c:pt>
                <c:pt idx="173">
                  <c:v>185.65890729095119</c:v>
                </c:pt>
                <c:pt idx="174">
                  <c:v>179.56285109373999</c:v>
                </c:pt>
                <c:pt idx="175">
                  <c:v>178.21236415217277</c:v>
                </c:pt>
                <c:pt idx="176">
                  <c:v>184.27697578863379</c:v>
                </c:pt>
                <c:pt idx="177">
                  <c:v>179.78074793443665</c:v>
                </c:pt>
                <c:pt idx="178">
                  <c:v>182.25589398718915</c:v>
                </c:pt>
                <c:pt idx="179">
                  <c:v>176.76351051621612</c:v>
                </c:pt>
                <c:pt idx="180">
                  <c:v>187.90960952789311</c:v>
                </c:pt>
                <c:pt idx="181">
                  <c:v>181.83689674537217</c:v>
                </c:pt>
                <c:pt idx="182">
                  <c:v>179.32218113210146</c:v>
                </c:pt>
                <c:pt idx="183">
                  <c:v>178.35251634203769</c:v>
                </c:pt>
                <c:pt idx="184">
                  <c:v>182.54959233985335</c:v>
                </c:pt>
                <c:pt idx="185">
                  <c:v>181.553187562169</c:v>
                </c:pt>
                <c:pt idx="186">
                  <c:v>177.71161824689909</c:v>
                </c:pt>
                <c:pt idx="187">
                  <c:v>166.98615891436413</c:v>
                </c:pt>
                <c:pt idx="188">
                  <c:v>180.0644840408165</c:v>
                </c:pt>
                <c:pt idx="189">
                  <c:v>175.15335070682474</c:v>
                </c:pt>
                <c:pt idx="190">
                  <c:v>179.93499574130803</c:v>
                </c:pt>
                <c:pt idx="191">
                  <c:v>192.42509467860708</c:v>
                </c:pt>
                <c:pt idx="192">
                  <c:v>182.76308455878123</c:v>
                </c:pt>
                <c:pt idx="193">
                  <c:v>185.30451681423989</c:v>
                </c:pt>
                <c:pt idx="194">
                  <c:v>195.35822754847018</c:v>
                </c:pt>
                <c:pt idx="195">
                  <c:v>183.83013198995516</c:v>
                </c:pt>
                <c:pt idx="196">
                  <c:v>188.83470839989025</c:v>
                </c:pt>
                <c:pt idx="197">
                  <c:v>176.58920331384428</c:v>
                </c:pt>
                <c:pt idx="198">
                  <c:v>181.19642217593974</c:v>
                </c:pt>
                <c:pt idx="199">
                  <c:v>183.43624350229058</c:v>
                </c:pt>
                <c:pt idx="200">
                  <c:v>191.52042426568562</c:v>
                </c:pt>
                <c:pt idx="201">
                  <c:v>172.12619692174232</c:v>
                </c:pt>
                <c:pt idx="202">
                  <c:v>160.65356196313786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FE-4EF3-B220-2973F6A8EB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9560048"/>
        <c:axId val="699558736"/>
      </c:lineChart>
      <c:catAx>
        <c:axId val="6995600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9558736"/>
        <c:crosses val="autoZero"/>
        <c:auto val="1"/>
        <c:lblAlgn val="ctr"/>
        <c:lblOffset val="100"/>
        <c:noMultiLvlLbl val="0"/>
      </c:catAx>
      <c:valAx>
        <c:axId val="699558736"/>
        <c:scaling>
          <c:orientation val="minMax"/>
          <c:min val="1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9560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 outlier Run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 outlier'!$A$2</c:f>
              <c:strCache>
                <c:ptCount val="1"/>
                <c:pt idx="0">
                  <c:v>No Issues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'1 outlier'!$A$3:$A$205</c:f>
              <c:numCache>
                <c:formatCode>General</c:formatCode>
                <c:ptCount val="203"/>
                <c:pt idx="0">
                  <c:v>187.35998770553127</c:v>
                </c:pt>
                <c:pt idx="1">
                  <c:v>180.88214689800304</c:v>
                </c:pt>
                <c:pt idx="2">
                  <c:v>177.86503750000682</c:v>
                </c:pt>
                <c:pt idx="3">
                  <c:v>180.17591961869473</c:v>
                </c:pt>
                <c:pt idx="4">
                  <c:v>191.07555705956605</c:v>
                </c:pt>
                <c:pt idx="5">
                  <c:v>182.07881551650274</c:v>
                </c:pt>
                <c:pt idx="6">
                  <c:v>178.98314204212159</c:v>
                </c:pt>
                <c:pt idx="7">
                  <c:v>181.55241829602474</c:v>
                </c:pt>
                <c:pt idx="8">
                  <c:v>178.30868378197434</c:v>
                </c:pt>
                <c:pt idx="9">
                  <c:v>179.48456724625976</c:v>
                </c:pt>
                <c:pt idx="10">
                  <c:v>173.51298260767112</c:v>
                </c:pt>
                <c:pt idx="11">
                  <c:v>182.16590395766923</c:v>
                </c:pt>
                <c:pt idx="12">
                  <c:v>177.58616855428627</c:v>
                </c:pt>
                <c:pt idx="13">
                  <c:v>183.45036205506011</c:v>
                </c:pt>
                <c:pt idx="14">
                  <c:v>181.50399544390692</c:v>
                </c:pt>
                <c:pt idx="15">
                  <c:v>168.51441639639469</c:v>
                </c:pt>
                <c:pt idx="16">
                  <c:v>172.5728706234942</c:v>
                </c:pt>
                <c:pt idx="17">
                  <c:v>186.02166989638243</c:v>
                </c:pt>
                <c:pt idx="18">
                  <c:v>180.31565143914557</c:v>
                </c:pt>
                <c:pt idx="19">
                  <c:v>171.39616432887047</c:v>
                </c:pt>
                <c:pt idx="20">
                  <c:v>180.44770333942557</c:v>
                </c:pt>
                <c:pt idx="21">
                  <c:v>188.55678972590161</c:v>
                </c:pt>
                <c:pt idx="22">
                  <c:v>184.22326056281932</c:v>
                </c:pt>
                <c:pt idx="23">
                  <c:v>178.03429651163134</c:v>
                </c:pt>
                <c:pt idx="24">
                  <c:v>178.66485289702385</c:v>
                </c:pt>
                <c:pt idx="25">
                  <c:v>176.47947739158249</c:v>
                </c:pt>
                <c:pt idx="26">
                  <c:v>192.8948425202293</c:v>
                </c:pt>
                <c:pt idx="27">
                  <c:v>210.50352969690027</c:v>
                </c:pt>
                <c:pt idx="28">
                  <c:v>180.18933712782083</c:v>
                </c:pt>
                <c:pt idx="29">
                  <c:v>190.60327340684091</c:v>
                </c:pt>
                <c:pt idx="30">
                  <c:v>187.93878971579545</c:v>
                </c:pt>
                <c:pt idx="31">
                  <c:v>179.59181152076167</c:v>
                </c:pt>
                <c:pt idx="32">
                  <c:v>186.10910553512534</c:v>
                </c:pt>
                <c:pt idx="33">
                  <c:v>169.80629708461976</c:v>
                </c:pt>
                <c:pt idx="34">
                  <c:v>174.12194111962648</c:v>
                </c:pt>
                <c:pt idx="35">
                  <c:v>195.55610220189112</c:v>
                </c:pt>
                <c:pt idx="36">
                  <c:v>177.91269750795098</c:v>
                </c:pt>
                <c:pt idx="37">
                  <c:v>178.43964639260832</c:v>
                </c:pt>
                <c:pt idx="38">
                  <c:v>171.4422417250959</c:v>
                </c:pt>
                <c:pt idx="39">
                  <c:v>165.06490806522095</c:v>
                </c:pt>
                <c:pt idx="40">
                  <c:v>179.35523775032541</c:v>
                </c:pt>
                <c:pt idx="41">
                  <c:v>175.52279149086155</c:v>
                </c:pt>
                <c:pt idx="42">
                  <c:v>190.64372284581523</c:v>
                </c:pt>
                <c:pt idx="43">
                  <c:v>172.12927845619927</c:v>
                </c:pt>
                <c:pt idx="44">
                  <c:v>186.58930538615675</c:v>
                </c:pt>
                <c:pt idx="45">
                  <c:v>175.76737849670866</c:v>
                </c:pt>
                <c:pt idx="46">
                  <c:v>178.94924081808406</c:v>
                </c:pt>
                <c:pt idx="47">
                  <c:v>182.12281622700837</c:v>
                </c:pt>
                <c:pt idx="48">
                  <c:v>177.60928410865654</c:v>
                </c:pt>
                <c:pt idx="49">
                  <c:v>174.43755300931477</c:v>
                </c:pt>
                <c:pt idx="50">
                  <c:v>173.32303336370001</c:v>
                </c:pt>
                <c:pt idx="51">
                  <c:v>174.51907621154223</c:v>
                </c:pt>
                <c:pt idx="52">
                  <c:v>180.37735722248325</c:v>
                </c:pt>
                <c:pt idx="53">
                  <c:v>183.56161734288474</c:v>
                </c:pt>
                <c:pt idx="54">
                  <c:v>185.03565329551151</c:v>
                </c:pt>
                <c:pt idx="55">
                  <c:v>173.00138628891327</c:v>
                </c:pt>
                <c:pt idx="56">
                  <c:v>182.15561699452053</c:v>
                </c:pt>
                <c:pt idx="57">
                  <c:v>183.92951589458363</c:v>
                </c:pt>
                <c:pt idx="58">
                  <c:v>180.36513246393415</c:v>
                </c:pt>
                <c:pt idx="59">
                  <c:v>173.97535015829891</c:v>
                </c:pt>
                <c:pt idx="60">
                  <c:v>190.75192327401589</c:v>
                </c:pt>
                <c:pt idx="61">
                  <c:v>183.78360826655134</c:v>
                </c:pt>
                <c:pt idx="62">
                  <c:v>186.66884157957014</c:v>
                </c:pt>
                <c:pt idx="63">
                  <c:v>170.60927079832152</c:v>
                </c:pt>
                <c:pt idx="64">
                  <c:v>167.56545206129871</c:v>
                </c:pt>
                <c:pt idx="65">
                  <c:v>182.18574707275189</c:v>
                </c:pt>
                <c:pt idx="66">
                  <c:v>180.47682394988334</c:v>
                </c:pt>
                <c:pt idx="67">
                  <c:v>176.34509639029824</c:v>
                </c:pt>
                <c:pt idx="68">
                  <c:v>166.04376298348026</c:v>
                </c:pt>
                <c:pt idx="69">
                  <c:v>180.65907173079802</c:v>
                </c:pt>
                <c:pt idx="70">
                  <c:v>166.78048975452094</c:v>
                </c:pt>
                <c:pt idx="71">
                  <c:v>178.80746940309112</c:v>
                </c:pt>
                <c:pt idx="72">
                  <c:v>176.88737007793185</c:v>
                </c:pt>
                <c:pt idx="73">
                  <c:v>169.78387419921873</c:v>
                </c:pt>
                <c:pt idx="74">
                  <c:v>169.49179025089651</c:v>
                </c:pt>
                <c:pt idx="75">
                  <c:v>180.29662143687389</c:v>
                </c:pt>
                <c:pt idx="76">
                  <c:v>186.97074365885334</c:v>
                </c:pt>
                <c:pt idx="77">
                  <c:v>180.1963612155057</c:v>
                </c:pt>
                <c:pt idx="78">
                  <c:v>179.2954717216266</c:v>
                </c:pt>
                <c:pt idx="79">
                  <c:v>185.14408905965087</c:v>
                </c:pt>
                <c:pt idx="80">
                  <c:v>175.37952329515196</c:v>
                </c:pt>
                <c:pt idx="81">
                  <c:v>183.71003228422961</c:v>
                </c:pt>
                <c:pt idx="82">
                  <c:v>177.54253314831334</c:v>
                </c:pt>
                <c:pt idx="83">
                  <c:v>176.20022787242883</c:v>
                </c:pt>
                <c:pt idx="84">
                  <c:v>180.19138582435261</c:v>
                </c:pt>
                <c:pt idx="85">
                  <c:v>173.65849600015201</c:v>
                </c:pt>
                <c:pt idx="86">
                  <c:v>171.20449140177013</c:v>
                </c:pt>
                <c:pt idx="87">
                  <c:v>182.9551041543514</c:v>
                </c:pt>
                <c:pt idx="88">
                  <c:v>173.61094517198401</c:v>
                </c:pt>
                <c:pt idx="89">
                  <c:v>183.0395884599493</c:v>
                </c:pt>
                <c:pt idx="90">
                  <c:v>179.38094433104601</c:v>
                </c:pt>
                <c:pt idx="91">
                  <c:v>175.62488389252044</c:v>
                </c:pt>
                <c:pt idx="92">
                  <c:v>180.71455037782167</c:v>
                </c:pt>
                <c:pt idx="93">
                  <c:v>175.49105053859071</c:v>
                </c:pt>
                <c:pt idx="94">
                  <c:v>183.40095144628546</c:v>
                </c:pt>
                <c:pt idx="95">
                  <c:v>188.43629784133731</c:v>
                </c:pt>
                <c:pt idx="96">
                  <c:v>171.97782386464206</c:v>
                </c:pt>
                <c:pt idx="97">
                  <c:v>180.53266361356052</c:v>
                </c:pt>
                <c:pt idx="98">
                  <c:v>189.16520229086183</c:v>
                </c:pt>
                <c:pt idx="99">
                  <c:v>184.70946071931124</c:v>
                </c:pt>
                <c:pt idx="100">
                  <c:v>182.95452074459584</c:v>
                </c:pt>
                <c:pt idx="101">
                  <c:v>187.68737452899009</c:v>
                </c:pt>
                <c:pt idx="102">
                  <c:v>191.08200939955805</c:v>
                </c:pt>
                <c:pt idx="103">
                  <c:v>179.93597378109936</c:v>
                </c:pt>
                <c:pt idx="104">
                  <c:v>185.49033775077569</c:v>
                </c:pt>
                <c:pt idx="105">
                  <c:v>181.49783846500242</c:v>
                </c:pt>
                <c:pt idx="106">
                  <c:v>189.18355926351165</c:v>
                </c:pt>
                <c:pt idx="107">
                  <c:v>165.71663688788223</c:v>
                </c:pt>
                <c:pt idx="108">
                  <c:v>168.3893070552958</c:v>
                </c:pt>
                <c:pt idx="109">
                  <c:v>176.70195656718323</c:v>
                </c:pt>
                <c:pt idx="110">
                  <c:v>177.57013219187724</c:v>
                </c:pt>
                <c:pt idx="111">
                  <c:v>166.14966196094835</c:v>
                </c:pt>
                <c:pt idx="112">
                  <c:v>191.17939152281218</c:v>
                </c:pt>
                <c:pt idx="113">
                  <c:v>179.49382789475644</c:v>
                </c:pt>
                <c:pt idx="114">
                  <c:v>172.06807482133209</c:v>
                </c:pt>
                <c:pt idx="115">
                  <c:v>182.2557475316797</c:v>
                </c:pt>
                <c:pt idx="116">
                  <c:v>181.59227422620577</c:v>
                </c:pt>
                <c:pt idx="117">
                  <c:v>172.55050766836482</c:v>
                </c:pt>
                <c:pt idx="118">
                  <c:v>186.90392493180687</c:v>
                </c:pt>
                <c:pt idx="119">
                  <c:v>175.0319179343675</c:v>
                </c:pt>
                <c:pt idx="120">
                  <c:v>186.40559767646513</c:v>
                </c:pt>
                <c:pt idx="121">
                  <c:v>178.70027695736096</c:v>
                </c:pt>
                <c:pt idx="122">
                  <c:v>184.46370242911749</c:v>
                </c:pt>
                <c:pt idx="123">
                  <c:v>176.33842370318916</c:v>
                </c:pt>
                <c:pt idx="124">
                  <c:v>183.04550451296075</c:v>
                </c:pt>
                <c:pt idx="125">
                  <c:v>187.45430998191631</c:v>
                </c:pt>
                <c:pt idx="126">
                  <c:v>188.31552528440261</c:v>
                </c:pt>
                <c:pt idx="127">
                  <c:v>178.6797817869024</c:v>
                </c:pt>
                <c:pt idx="128">
                  <c:v>179.7107191128886</c:v>
                </c:pt>
                <c:pt idx="129">
                  <c:v>183.91375153615303</c:v>
                </c:pt>
                <c:pt idx="130">
                  <c:v>185.74785991202822</c:v>
                </c:pt>
                <c:pt idx="131">
                  <c:v>187.99213497549675</c:v>
                </c:pt>
                <c:pt idx="132">
                  <c:v>173.73704780080243</c:v>
                </c:pt>
                <c:pt idx="133">
                  <c:v>177.34355664610484</c:v>
                </c:pt>
                <c:pt idx="134">
                  <c:v>182.34908136796372</c:v>
                </c:pt>
                <c:pt idx="135">
                  <c:v>180.90281633840678</c:v>
                </c:pt>
                <c:pt idx="136">
                  <c:v>181.62882416762778</c:v>
                </c:pt>
                <c:pt idx="137">
                  <c:v>175.5895201115961</c:v>
                </c:pt>
                <c:pt idx="138">
                  <c:v>172.96443802723587</c:v>
                </c:pt>
                <c:pt idx="139">
                  <c:v>183.95674083658349</c:v>
                </c:pt>
                <c:pt idx="140">
                  <c:v>183.29460452800782</c:v>
                </c:pt>
                <c:pt idx="141">
                  <c:v>180.37542556250111</c:v>
                </c:pt>
                <c:pt idx="142">
                  <c:v>183.02001191069945</c:v>
                </c:pt>
                <c:pt idx="143">
                  <c:v>196.31569896800954</c:v>
                </c:pt>
                <c:pt idx="144">
                  <c:v>175.75630447607324</c:v>
                </c:pt>
                <c:pt idx="145">
                  <c:v>181.43278293223872</c:v>
                </c:pt>
                <c:pt idx="146">
                  <c:v>180.22056701927724</c:v>
                </c:pt>
                <c:pt idx="147">
                  <c:v>178.63295428536017</c:v>
                </c:pt>
                <c:pt idx="148">
                  <c:v>188.24363479448149</c:v>
                </c:pt>
                <c:pt idx="149">
                  <c:v>177.30702982505733</c:v>
                </c:pt>
                <c:pt idx="150">
                  <c:v>178.77211445188672</c:v>
                </c:pt>
                <c:pt idx="151">
                  <c:v>176.76723583651543</c:v>
                </c:pt>
                <c:pt idx="152">
                  <c:v>178.89143529080707</c:v>
                </c:pt>
                <c:pt idx="153">
                  <c:v>170.87409873986002</c:v>
                </c:pt>
                <c:pt idx="154">
                  <c:v>175.15982301232967</c:v>
                </c:pt>
                <c:pt idx="155">
                  <c:v>180.7452538590745</c:v>
                </c:pt>
                <c:pt idx="156">
                  <c:v>182.95925912766924</c:v>
                </c:pt>
                <c:pt idx="157">
                  <c:v>189.25671882317965</c:v>
                </c:pt>
                <c:pt idx="158">
                  <c:v>193.13544808467884</c:v>
                </c:pt>
                <c:pt idx="159">
                  <c:v>187.02410643459061</c:v>
                </c:pt>
                <c:pt idx="160">
                  <c:v>175.51942154985002</c:v>
                </c:pt>
                <c:pt idx="161">
                  <c:v>183.07759338215317</c:v>
                </c:pt>
                <c:pt idx="162">
                  <c:v>184.08799412607308</c:v>
                </c:pt>
                <c:pt idx="163">
                  <c:v>175.54265031465417</c:v>
                </c:pt>
                <c:pt idx="164">
                  <c:v>169.53586135556338</c:v>
                </c:pt>
                <c:pt idx="165">
                  <c:v>177.59222828681371</c:v>
                </c:pt>
                <c:pt idx="166">
                  <c:v>184.24744435006514</c:v>
                </c:pt>
                <c:pt idx="167">
                  <c:v>179.20768325918684</c:v>
                </c:pt>
                <c:pt idx="168">
                  <c:v>175.49088798193856</c:v>
                </c:pt>
                <c:pt idx="169">
                  <c:v>174.93453387275082</c:v>
                </c:pt>
                <c:pt idx="170">
                  <c:v>191.36470761540019</c:v>
                </c:pt>
                <c:pt idx="171">
                  <c:v>179.5621766490014</c:v>
                </c:pt>
                <c:pt idx="172">
                  <c:v>186.76522940579471</c:v>
                </c:pt>
                <c:pt idx="173">
                  <c:v>181.75525271832183</c:v>
                </c:pt>
                <c:pt idx="174">
                  <c:v>180.7452281692191</c:v>
                </c:pt>
                <c:pt idx="175">
                  <c:v>173.81498064956239</c:v>
                </c:pt>
                <c:pt idx="176">
                  <c:v>169.78881635495586</c:v>
                </c:pt>
                <c:pt idx="177">
                  <c:v>178.26260929089818</c:v>
                </c:pt>
                <c:pt idx="178">
                  <c:v>182.96862072571577</c:v>
                </c:pt>
                <c:pt idx="179">
                  <c:v>187.51572334121133</c:v>
                </c:pt>
                <c:pt idx="180">
                  <c:v>179.68774023271774</c:v>
                </c:pt>
                <c:pt idx="181">
                  <c:v>172.5585026873396</c:v>
                </c:pt>
                <c:pt idx="182">
                  <c:v>177.53187456245206</c:v>
                </c:pt>
                <c:pt idx="183">
                  <c:v>182.08772676635945</c:v>
                </c:pt>
                <c:pt idx="184">
                  <c:v>180.23433303216416</c:v>
                </c:pt>
                <c:pt idx="185">
                  <c:v>176.8117721860344</c:v>
                </c:pt>
                <c:pt idx="186">
                  <c:v>187.36884932108867</c:v>
                </c:pt>
                <c:pt idx="187">
                  <c:v>178.11037904679119</c:v>
                </c:pt>
                <c:pt idx="188">
                  <c:v>166.85027803104475</c:v>
                </c:pt>
                <c:pt idx="189">
                  <c:v>173.46876893561836</c:v>
                </c:pt>
                <c:pt idx="190">
                  <c:v>175.10888511739131</c:v>
                </c:pt>
                <c:pt idx="191">
                  <c:v>181.78293748080065</c:v>
                </c:pt>
                <c:pt idx="192">
                  <c:v>183.38759140805104</c:v>
                </c:pt>
                <c:pt idx="193">
                  <c:v>174.16268128193295</c:v>
                </c:pt>
                <c:pt idx="194">
                  <c:v>185.67968202352455</c:v>
                </c:pt>
                <c:pt idx="195">
                  <c:v>187.69867457364606</c:v>
                </c:pt>
                <c:pt idx="196">
                  <c:v>184.73663128206564</c:v>
                </c:pt>
                <c:pt idx="197">
                  <c:v>181.75704061387825</c:v>
                </c:pt>
                <c:pt idx="198">
                  <c:v>178.87779310276716</c:v>
                </c:pt>
                <c:pt idx="199">
                  <c:v>176.59237214428634</c:v>
                </c:pt>
                <c:pt idx="200">
                  <c:v>177.77690462188366</c:v>
                </c:pt>
                <c:pt idx="201">
                  <c:v>187.16078834445105</c:v>
                </c:pt>
                <c:pt idx="202">
                  <c:v>174.29872513646552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24-49DF-BE16-2361FD3C99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9560048"/>
        <c:axId val="699558736"/>
      </c:lineChart>
      <c:catAx>
        <c:axId val="6995600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9558736"/>
        <c:crosses val="autoZero"/>
        <c:auto val="1"/>
        <c:lblAlgn val="ctr"/>
        <c:lblOffset val="100"/>
        <c:noMultiLvlLbl val="0"/>
      </c:catAx>
      <c:valAx>
        <c:axId val="699558736"/>
        <c:scaling>
          <c:orientation val="minMax"/>
          <c:min val="1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9560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Trend</a:t>
            </a:r>
            <a:r>
              <a:rPr lang="en-US" baseline="0"/>
              <a:t> Found on </a:t>
            </a:r>
            <a:r>
              <a:rPr lang="en-US"/>
              <a:t>Run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trend!$A$2</c:f>
              <c:strCache>
                <c:ptCount val="1"/>
                <c:pt idx="0">
                  <c:v>No Issues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trend!$A$3:$A$205</c:f>
              <c:numCache>
                <c:formatCode>General</c:formatCode>
                <c:ptCount val="203"/>
                <c:pt idx="0">
                  <c:v>187.93952510063531</c:v>
                </c:pt>
                <c:pt idx="1">
                  <c:v>173.69805589615837</c:v>
                </c:pt>
                <c:pt idx="2">
                  <c:v>170.61204260687441</c:v>
                </c:pt>
                <c:pt idx="3">
                  <c:v>172.63447077571936</c:v>
                </c:pt>
                <c:pt idx="4">
                  <c:v>189.30978821274678</c:v>
                </c:pt>
                <c:pt idx="5">
                  <c:v>181.98155666528271</c:v>
                </c:pt>
                <c:pt idx="6">
                  <c:v>179.78604559367659</c:v>
                </c:pt>
                <c:pt idx="7">
                  <c:v>182.16068595854952</c:v>
                </c:pt>
                <c:pt idx="8">
                  <c:v>180.68952092778886</c:v>
                </c:pt>
                <c:pt idx="9">
                  <c:v>180.94530131328972</c:v>
                </c:pt>
                <c:pt idx="10">
                  <c:v>182.7762564059571</c:v>
                </c:pt>
                <c:pt idx="11">
                  <c:v>188.78182820393098</c:v>
                </c:pt>
                <c:pt idx="12">
                  <c:v>176.00920639508408</c:v>
                </c:pt>
                <c:pt idx="13">
                  <c:v>178.45272067032255</c:v>
                </c:pt>
                <c:pt idx="14">
                  <c:v>178.59890851244282</c:v>
                </c:pt>
                <c:pt idx="15">
                  <c:v>176.01405124145828</c:v>
                </c:pt>
                <c:pt idx="16">
                  <c:v>178.61950744022627</c:v>
                </c:pt>
                <c:pt idx="17">
                  <c:v>184.91572448247169</c:v>
                </c:pt>
                <c:pt idx="18">
                  <c:v>176.75503700980721</c:v>
                </c:pt>
                <c:pt idx="19">
                  <c:v>176.28555631052859</c:v>
                </c:pt>
                <c:pt idx="20">
                  <c:v>184.08553253822453</c:v>
                </c:pt>
                <c:pt idx="21">
                  <c:v>177.97578753743568</c:v>
                </c:pt>
                <c:pt idx="22">
                  <c:v>186.15971075813101</c:v>
                </c:pt>
                <c:pt idx="23">
                  <c:v>179.79991743171092</c:v>
                </c:pt>
                <c:pt idx="24">
                  <c:v>177.43705141381298</c:v>
                </c:pt>
                <c:pt idx="25">
                  <c:v>183.05140778555432</c:v>
                </c:pt>
                <c:pt idx="26">
                  <c:v>181.1418127701441</c:v>
                </c:pt>
                <c:pt idx="27">
                  <c:v>182.82497092629291</c:v>
                </c:pt>
                <c:pt idx="28">
                  <c:v>177.49930525815333</c:v>
                </c:pt>
                <c:pt idx="29">
                  <c:v>175.99461225589462</c:v>
                </c:pt>
                <c:pt idx="30">
                  <c:v>164</c:v>
                </c:pt>
                <c:pt idx="31">
                  <c:v>166.53085076247973</c:v>
                </c:pt>
                <c:pt idx="32">
                  <c:v>175.56150528857842</c:v>
                </c:pt>
                <c:pt idx="33">
                  <c:v>182.89962769787226</c:v>
                </c:pt>
                <c:pt idx="34">
                  <c:v>193.98342201671349</c:v>
                </c:pt>
                <c:pt idx="35">
                  <c:v>197.63817741463583</c:v>
                </c:pt>
                <c:pt idx="36">
                  <c:v>202.39644911770321</c:v>
                </c:pt>
                <c:pt idx="37">
                  <c:v>205.91827597288062</c:v>
                </c:pt>
                <c:pt idx="38">
                  <c:v>210.13337086755121</c:v>
                </c:pt>
                <c:pt idx="39">
                  <c:v>217.41780671717109</c:v>
                </c:pt>
                <c:pt idx="40">
                  <c:v>219.85674808628471</c:v>
                </c:pt>
                <c:pt idx="41">
                  <c:v>223.80802131026076</c:v>
                </c:pt>
                <c:pt idx="42">
                  <c:v>174.76231412118116</c:v>
                </c:pt>
                <c:pt idx="43">
                  <c:v>183.64780015907442</c:v>
                </c:pt>
                <c:pt idx="44">
                  <c:v>191.47174662419943</c:v>
                </c:pt>
                <c:pt idx="45">
                  <c:v>185.50232104311189</c:v>
                </c:pt>
                <c:pt idx="46">
                  <c:v>183.4774740900734</c:v>
                </c:pt>
                <c:pt idx="47">
                  <c:v>187.85474252587338</c:v>
                </c:pt>
                <c:pt idx="48">
                  <c:v>177.78428185728984</c:v>
                </c:pt>
                <c:pt idx="49">
                  <c:v>172.59154382315884</c:v>
                </c:pt>
                <c:pt idx="50">
                  <c:v>178.91297067178891</c:v>
                </c:pt>
                <c:pt idx="51">
                  <c:v>176.10953778382964</c:v>
                </c:pt>
                <c:pt idx="52">
                  <c:v>170.20096487155743</c:v>
                </c:pt>
                <c:pt idx="53">
                  <c:v>184.16287649881889</c:v>
                </c:pt>
                <c:pt idx="54">
                  <c:v>179.47962974980049</c:v>
                </c:pt>
                <c:pt idx="55">
                  <c:v>174.27924622231572</c:v>
                </c:pt>
                <c:pt idx="56">
                  <c:v>184.53524973166469</c:v>
                </c:pt>
                <c:pt idx="57">
                  <c:v>171.23126547856825</c:v>
                </c:pt>
                <c:pt idx="58">
                  <c:v>177.68125288916644</c:v>
                </c:pt>
                <c:pt idx="59">
                  <c:v>191.99232715449554</c:v>
                </c:pt>
                <c:pt idx="60">
                  <c:v>185.12482922413511</c:v>
                </c:pt>
                <c:pt idx="61">
                  <c:v>172.89817286248612</c:v>
                </c:pt>
                <c:pt idx="62">
                  <c:v>181.69439879664822</c:v>
                </c:pt>
                <c:pt idx="63">
                  <c:v>175.55573278869954</c:v>
                </c:pt>
                <c:pt idx="64">
                  <c:v>176.66723361115447</c:v>
                </c:pt>
                <c:pt idx="65">
                  <c:v>174.13312520717312</c:v>
                </c:pt>
                <c:pt idx="66">
                  <c:v>188.61749410226102</c:v>
                </c:pt>
                <c:pt idx="67">
                  <c:v>173.50013932247131</c:v>
                </c:pt>
                <c:pt idx="68">
                  <c:v>176.333894047852</c:v>
                </c:pt>
                <c:pt idx="69">
                  <c:v>186.50731675545859</c:v>
                </c:pt>
                <c:pt idx="70">
                  <c:v>177.36610848243672</c:v>
                </c:pt>
                <c:pt idx="71">
                  <c:v>173.56863416929315</c:v>
                </c:pt>
                <c:pt idx="72">
                  <c:v>184.24471353365436</c:v>
                </c:pt>
                <c:pt idx="73">
                  <c:v>176.24562682778054</c:v>
                </c:pt>
                <c:pt idx="74">
                  <c:v>181.84599658755099</c:v>
                </c:pt>
                <c:pt idx="75">
                  <c:v>181.19201023217829</c:v>
                </c:pt>
                <c:pt idx="76">
                  <c:v>179.27039110036748</c:v>
                </c:pt>
                <c:pt idx="77">
                  <c:v>176.94304821437481</c:v>
                </c:pt>
                <c:pt idx="78">
                  <c:v>187.47538031006647</c:v>
                </c:pt>
                <c:pt idx="79">
                  <c:v>181.51262861900969</c:v>
                </c:pt>
                <c:pt idx="80">
                  <c:v>183.52120455565273</c:v>
                </c:pt>
                <c:pt idx="81">
                  <c:v>184.49015416196355</c:v>
                </c:pt>
                <c:pt idx="82">
                  <c:v>173.65201317680459</c:v>
                </c:pt>
                <c:pt idx="83">
                  <c:v>189.86589468848453</c:v>
                </c:pt>
                <c:pt idx="84">
                  <c:v>179.80908990561602</c:v>
                </c:pt>
                <c:pt idx="85">
                  <c:v>180.09960194300086</c:v>
                </c:pt>
                <c:pt idx="86">
                  <c:v>183.58095558003063</c:v>
                </c:pt>
                <c:pt idx="87">
                  <c:v>176.50200419733119</c:v>
                </c:pt>
                <c:pt idx="88">
                  <c:v>177.38155493102616</c:v>
                </c:pt>
                <c:pt idx="89">
                  <c:v>172.9777281354261</c:v>
                </c:pt>
                <c:pt idx="90">
                  <c:v>176.65352587791673</c:v>
                </c:pt>
                <c:pt idx="91">
                  <c:v>184.73061873307429</c:v>
                </c:pt>
                <c:pt idx="92">
                  <c:v>190.15702588730153</c:v>
                </c:pt>
                <c:pt idx="93">
                  <c:v>175.15727392919482</c:v>
                </c:pt>
                <c:pt idx="94">
                  <c:v>187.75054510158958</c:v>
                </c:pt>
                <c:pt idx="95">
                  <c:v>176.88102395376413</c:v>
                </c:pt>
                <c:pt idx="96">
                  <c:v>164.81381037242133</c:v>
                </c:pt>
                <c:pt idx="97">
                  <c:v>178.26003610492523</c:v>
                </c:pt>
                <c:pt idx="98">
                  <c:v>182.74773973635192</c:v>
                </c:pt>
                <c:pt idx="99">
                  <c:v>178.47411217337793</c:v>
                </c:pt>
                <c:pt idx="100">
                  <c:v>180.16806868652699</c:v>
                </c:pt>
                <c:pt idx="101">
                  <c:v>175.31613758607807</c:v>
                </c:pt>
                <c:pt idx="102">
                  <c:v>190.82697989269235</c:v>
                </c:pt>
                <c:pt idx="103">
                  <c:v>176.17236786240181</c:v>
                </c:pt>
                <c:pt idx="104">
                  <c:v>187.58179376658114</c:v>
                </c:pt>
                <c:pt idx="105">
                  <c:v>186.82486959079955</c:v>
                </c:pt>
                <c:pt idx="106">
                  <c:v>182.28557961040494</c:v>
                </c:pt>
                <c:pt idx="107">
                  <c:v>178.78903997320694</c:v>
                </c:pt>
                <c:pt idx="108">
                  <c:v>185.2103003910857</c:v>
                </c:pt>
                <c:pt idx="109">
                  <c:v>175.75146670973209</c:v>
                </c:pt>
                <c:pt idx="110">
                  <c:v>176.27481537472556</c:v>
                </c:pt>
                <c:pt idx="111">
                  <c:v>177.57772423421636</c:v>
                </c:pt>
                <c:pt idx="112">
                  <c:v>182.63483820509683</c:v>
                </c:pt>
                <c:pt idx="113">
                  <c:v>189.71454260045729</c:v>
                </c:pt>
                <c:pt idx="114">
                  <c:v>168.06530287729387</c:v>
                </c:pt>
                <c:pt idx="115">
                  <c:v>177.45531062053803</c:v>
                </c:pt>
                <c:pt idx="116">
                  <c:v>179.90555104162422</c:v>
                </c:pt>
                <c:pt idx="117">
                  <c:v>177.64735826372842</c:v>
                </c:pt>
                <c:pt idx="118">
                  <c:v>180.77550299545359</c:v>
                </c:pt>
                <c:pt idx="119">
                  <c:v>187.49434670007767</c:v>
                </c:pt>
                <c:pt idx="120">
                  <c:v>183.01578647960912</c:v>
                </c:pt>
                <c:pt idx="121">
                  <c:v>190.30222874970883</c:v>
                </c:pt>
                <c:pt idx="122">
                  <c:v>183.74984461583077</c:v>
                </c:pt>
                <c:pt idx="123">
                  <c:v>175.76642003830668</c:v>
                </c:pt>
                <c:pt idx="124">
                  <c:v>180.76152041658642</c:v>
                </c:pt>
                <c:pt idx="125">
                  <c:v>167.74546776995817</c:v>
                </c:pt>
                <c:pt idx="126">
                  <c:v>174.65163171441981</c:v>
                </c:pt>
                <c:pt idx="127">
                  <c:v>191.80392799609277</c:v>
                </c:pt>
                <c:pt idx="128">
                  <c:v>174.84893491160253</c:v>
                </c:pt>
                <c:pt idx="129">
                  <c:v>170.40294682157619</c:v>
                </c:pt>
                <c:pt idx="130">
                  <c:v>173.98605018174348</c:v>
                </c:pt>
                <c:pt idx="131">
                  <c:v>171.3389314235913</c:v>
                </c:pt>
                <c:pt idx="132">
                  <c:v>182.70352302085257</c:v>
                </c:pt>
                <c:pt idx="133">
                  <c:v>179.08962573482688</c:v>
                </c:pt>
                <c:pt idx="134">
                  <c:v>171.43289620995864</c:v>
                </c:pt>
                <c:pt idx="135">
                  <c:v>183.21886341476829</c:v>
                </c:pt>
                <c:pt idx="136">
                  <c:v>177.91061884755297</c:v>
                </c:pt>
                <c:pt idx="137">
                  <c:v>169.8473961967307</c:v>
                </c:pt>
                <c:pt idx="138">
                  <c:v>182.15293648058781</c:v>
                </c:pt>
                <c:pt idx="139">
                  <c:v>178.74247339807647</c:v>
                </c:pt>
                <c:pt idx="140">
                  <c:v>182.20166657810606</c:v>
                </c:pt>
                <c:pt idx="141">
                  <c:v>178.63142150917972</c:v>
                </c:pt>
                <c:pt idx="142">
                  <c:v>177.58480442640302</c:v>
                </c:pt>
                <c:pt idx="143">
                  <c:v>179.89550937542634</c:v>
                </c:pt>
                <c:pt idx="144">
                  <c:v>184.50448223456385</c:v>
                </c:pt>
                <c:pt idx="145">
                  <c:v>180.98133754772118</c:v>
                </c:pt>
                <c:pt idx="146">
                  <c:v>185.50464883903811</c:v>
                </c:pt>
                <c:pt idx="147">
                  <c:v>181.88763849035539</c:v>
                </c:pt>
                <c:pt idx="148">
                  <c:v>172.41202605461291</c:v>
                </c:pt>
                <c:pt idx="149">
                  <c:v>168.8800263668663</c:v>
                </c:pt>
                <c:pt idx="150">
                  <c:v>179.32905221504907</c:v>
                </c:pt>
                <c:pt idx="151">
                  <c:v>179.17003298303888</c:v>
                </c:pt>
                <c:pt idx="152">
                  <c:v>177.66808041541083</c:v>
                </c:pt>
                <c:pt idx="153">
                  <c:v>191.8498184243166</c:v>
                </c:pt>
                <c:pt idx="154">
                  <c:v>179.84349268561698</c:v>
                </c:pt>
                <c:pt idx="155">
                  <c:v>175.2207614074637</c:v>
                </c:pt>
                <c:pt idx="156">
                  <c:v>181.59630469782718</c:v>
                </c:pt>
                <c:pt idx="157">
                  <c:v>187.67919659624442</c:v>
                </c:pt>
                <c:pt idx="158">
                  <c:v>189.28713696572936</c:v>
                </c:pt>
                <c:pt idx="159">
                  <c:v>183.85819666332114</c:v>
                </c:pt>
                <c:pt idx="160">
                  <c:v>173.0068988226906</c:v>
                </c:pt>
                <c:pt idx="161">
                  <c:v>173.45950328816019</c:v>
                </c:pt>
                <c:pt idx="162">
                  <c:v>177.92884906302129</c:v>
                </c:pt>
                <c:pt idx="163">
                  <c:v>191.46322324864593</c:v>
                </c:pt>
                <c:pt idx="164">
                  <c:v>178.49570381631065</c:v>
                </c:pt>
                <c:pt idx="165">
                  <c:v>185.40098420688406</c:v>
                </c:pt>
                <c:pt idx="166">
                  <c:v>183.27844342253954</c:v>
                </c:pt>
                <c:pt idx="167">
                  <c:v>165.59355749656527</c:v>
                </c:pt>
                <c:pt idx="168">
                  <c:v>182.77608217208967</c:v>
                </c:pt>
                <c:pt idx="169">
                  <c:v>190.65503582045844</c:v>
                </c:pt>
                <c:pt idx="170">
                  <c:v>176.82520533039502</c:v>
                </c:pt>
                <c:pt idx="171">
                  <c:v>188.04487717921555</c:v>
                </c:pt>
                <c:pt idx="172">
                  <c:v>180.29905464816105</c:v>
                </c:pt>
                <c:pt idx="173">
                  <c:v>178.51806137309924</c:v>
                </c:pt>
                <c:pt idx="174">
                  <c:v>174.8213913890763</c:v>
                </c:pt>
                <c:pt idx="175">
                  <c:v>179.20792893406377</c:v>
                </c:pt>
                <c:pt idx="176">
                  <c:v>182.69270332960539</c:v>
                </c:pt>
                <c:pt idx="177">
                  <c:v>179.99572888472579</c:v>
                </c:pt>
                <c:pt idx="178">
                  <c:v>175.7341937744479</c:v>
                </c:pt>
                <c:pt idx="179">
                  <c:v>180.85775008799158</c:v>
                </c:pt>
                <c:pt idx="180">
                  <c:v>178.83106775084855</c:v>
                </c:pt>
                <c:pt idx="181">
                  <c:v>181.97398722954483</c:v>
                </c:pt>
                <c:pt idx="182">
                  <c:v>183.95671717843291</c:v>
                </c:pt>
                <c:pt idx="183">
                  <c:v>177.83103712973752</c:v>
                </c:pt>
                <c:pt idx="184">
                  <c:v>187.46715864071118</c:v>
                </c:pt>
                <c:pt idx="185">
                  <c:v>186.41405354263887</c:v>
                </c:pt>
                <c:pt idx="186">
                  <c:v>182.81796735923172</c:v>
                </c:pt>
                <c:pt idx="187">
                  <c:v>170.98112979862483</c:v>
                </c:pt>
                <c:pt idx="188">
                  <c:v>172.68304396543445</c:v>
                </c:pt>
                <c:pt idx="189">
                  <c:v>175.05680266199417</c:v>
                </c:pt>
                <c:pt idx="190">
                  <c:v>174.29867796128528</c:v>
                </c:pt>
                <c:pt idx="191">
                  <c:v>195.68248160109414</c:v>
                </c:pt>
                <c:pt idx="192">
                  <c:v>176.22906287531279</c:v>
                </c:pt>
                <c:pt idx="193">
                  <c:v>194.01513286562903</c:v>
                </c:pt>
                <c:pt idx="194">
                  <c:v>190.2666897692408</c:v>
                </c:pt>
                <c:pt idx="195">
                  <c:v>177.36702463370329</c:v>
                </c:pt>
                <c:pt idx="196">
                  <c:v>187.82381676317098</c:v>
                </c:pt>
                <c:pt idx="197">
                  <c:v>174.85850766821153</c:v>
                </c:pt>
                <c:pt idx="198">
                  <c:v>180.66439493555066</c:v>
                </c:pt>
                <c:pt idx="199">
                  <c:v>181.45754545841874</c:v>
                </c:pt>
                <c:pt idx="200">
                  <c:v>181.25116349692456</c:v>
                </c:pt>
                <c:pt idx="201">
                  <c:v>175.2683311521107</c:v>
                </c:pt>
                <c:pt idx="202">
                  <c:v>178.52325564668118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DD-468E-A436-5A5BE4140A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9560048"/>
        <c:axId val="699558736"/>
      </c:lineChart>
      <c:catAx>
        <c:axId val="6995600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9558736"/>
        <c:crosses val="autoZero"/>
        <c:auto val="1"/>
        <c:lblAlgn val="ctr"/>
        <c:lblOffset val="100"/>
        <c:noMultiLvlLbl val="0"/>
      </c:catAx>
      <c:valAx>
        <c:axId val="699558736"/>
        <c:scaling>
          <c:orientation val="minMax"/>
          <c:min val="1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9560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issue with</a:t>
            </a:r>
            <a:r>
              <a:rPr lang="en-US" baseline="0"/>
              <a:t> point in </a:t>
            </a:r>
            <a:r>
              <a:rPr lang="en-US"/>
              <a:t>scatterplot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'scatterplot outlier'!$B$2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'scatterplot outlier'!$A$3:$A$100</c:f>
              <c:numCache>
                <c:formatCode>General</c:formatCode>
                <c:ptCount val="98"/>
                <c:pt idx="0">
                  <c:v>175.45940457928643</c:v>
                </c:pt>
                <c:pt idx="1">
                  <c:v>169.81175420950433</c:v>
                </c:pt>
                <c:pt idx="2">
                  <c:v>183.09044310732887</c:v>
                </c:pt>
                <c:pt idx="3">
                  <c:v>172.18563496849885</c:v>
                </c:pt>
                <c:pt idx="4">
                  <c:v>178.51373723733147</c:v>
                </c:pt>
                <c:pt idx="5">
                  <c:v>182.46300639622925</c:v>
                </c:pt>
                <c:pt idx="6">
                  <c:v>173.52158360176787</c:v>
                </c:pt>
                <c:pt idx="7">
                  <c:v>185.54651231287116</c:v>
                </c:pt>
                <c:pt idx="8">
                  <c:v>170.03929468020959</c:v>
                </c:pt>
                <c:pt idx="9">
                  <c:v>183.06074851652141</c:v>
                </c:pt>
                <c:pt idx="10">
                  <c:v>179.53574445561881</c:v>
                </c:pt>
                <c:pt idx="11">
                  <c:v>176.49359474036345</c:v>
                </c:pt>
                <c:pt idx="12">
                  <c:v>175.70209841578043</c:v>
                </c:pt>
                <c:pt idx="13">
                  <c:v>181.25286215384691</c:v>
                </c:pt>
                <c:pt idx="14">
                  <c:v>186.56530996580369</c:v>
                </c:pt>
                <c:pt idx="15">
                  <c:v>171.50363398572634</c:v>
                </c:pt>
                <c:pt idx="16">
                  <c:v>169.72652486507826</c:v>
                </c:pt>
                <c:pt idx="17">
                  <c:v>168.7351242871608</c:v>
                </c:pt>
                <c:pt idx="18">
                  <c:v>179.18620707697445</c:v>
                </c:pt>
                <c:pt idx="19">
                  <c:v>178.92440698205982</c:v>
                </c:pt>
                <c:pt idx="20">
                  <c:v>173.86979120694645</c:v>
                </c:pt>
                <c:pt idx="21">
                  <c:v>176.87459453784842</c:v>
                </c:pt>
                <c:pt idx="22">
                  <c:v>176.44706073513944</c:v>
                </c:pt>
                <c:pt idx="23">
                  <c:v>182.98922420915881</c:v>
                </c:pt>
                <c:pt idx="24">
                  <c:v>173.72519611559781</c:v>
                </c:pt>
                <c:pt idx="25">
                  <c:v>182.47633339431408</c:v>
                </c:pt>
                <c:pt idx="26">
                  <c:v>188.45194731833482</c:v>
                </c:pt>
                <c:pt idx="27">
                  <c:v>187.90808221380854</c:v>
                </c:pt>
                <c:pt idx="28">
                  <c:v>177.28214150548919</c:v>
                </c:pt>
                <c:pt idx="29">
                  <c:v>164.73287171973593</c:v>
                </c:pt>
                <c:pt idx="30">
                  <c:v>176.99596638533964</c:v>
                </c:pt>
                <c:pt idx="31">
                  <c:v>179.28176582247451</c:v>
                </c:pt>
                <c:pt idx="32">
                  <c:v>175.39694785299807</c:v>
                </c:pt>
                <c:pt idx="33">
                  <c:v>173.21345027741333</c:v>
                </c:pt>
                <c:pt idx="34">
                  <c:v>176.18912277823836</c:v>
                </c:pt>
                <c:pt idx="35">
                  <c:v>181.01804330098381</c:v>
                </c:pt>
                <c:pt idx="36">
                  <c:v>173.99202159319421</c:v>
                </c:pt>
                <c:pt idx="37">
                  <c:v>177.08805850674898</c:v>
                </c:pt>
                <c:pt idx="38">
                  <c:v>179.74516475097744</c:v>
                </c:pt>
                <c:pt idx="39">
                  <c:v>190.01780629258477</c:v>
                </c:pt>
                <c:pt idx="40">
                  <c:v>177.30165089628966</c:v>
                </c:pt>
                <c:pt idx="41">
                  <c:v>171.07215734490154</c:v>
                </c:pt>
                <c:pt idx="42">
                  <c:v>185.97816796640421</c:v>
                </c:pt>
                <c:pt idx="43">
                  <c:v>180.22027660305253</c:v>
                </c:pt>
                <c:pt idx="44">
                  <c:v>183.52654989137702</c:v>
                </c:pt>
                <c:pt idx="45">
                  <c:v>182.20274214029158</c:v>
                </c:pt>
                <c:pt idx="46">
                  <c:v>178.1353395910312</c:v>
                </c:pt>
                <c:pt idx="47">
                  <c:v>181.06625466937012</c:v>
                </c:pt>
                <c:pt idx="48">
                  <c:v>182.07554156910751</c:v>
                </c:pt>
                <c:pt idx="49">
                  <c:v>184.67264119798367</c:v>
                </c:pt>
                <c:pt idx="50">
                  <c:v>183.1136389508269</c:v>
                </c:pt>
                <c:pt idx="51">
                  <c:v>179.32825450261706</c:v>
                </c:pt>
                <c:pt idx="52">
                  <c:v>182.92832857748959</c:v>
                </c:pt>
                <c:pt idx="53">
                  <c:v>174.352931361364</c:v>
                </c:pt>
                <c:pt idx="54">
                  <c:v>175.65246232485083</c:v>
                </c:pt>
                <c:pt idx="55">
                  <c:v>184.03818945649377</c:v>
                </c:pt>
                <c:pt idx="56">
                  <c:v>172.81713516446374</c:v>
                </c:pt>
                <c:pt idx="57">
                  <c:v>181.61055755937636</c:v>
                </c:pt>
                <c:pt idx="58">
                  <c:v>177.4545342692214</c:v>
                </c:pt>
                <c:pt idx="59">
                  <c:v>184.50316794559248</c:v>
                </c:pt>
                <c:pt idx="60">
                  <c:v>176.64315836384122</c:v>
                </c:pt>
                <c:pt idx="61">
                  <c:v>176.24318295465605</c:v>
                </c:pt>
                <c:pt idx="62">
                  <c:v>183.1120313642682</c:v>
                </c:pt>
                <c:pt idx="63">
                  <c:v>176.6895542572405</c:v>
                </c:pt>
                <c:pt idx="64">
                  <c:v>179.85975191925141</c:v>
                </c:pt>
                <c:pt idx="65">
                  <c:v>183.88948816112298</c:v>
                </c:pt>
                <c:pt idx="66">
                  <c:v>183.09049954529624</c:v>
                </c:pt>
                <c:pt idx="67">
                  <c:v>179.59997523796949</c:v>
                </c:pt>
                <c:pt idx="68">
                  <c:v>183.93194389744357</c:v>
                </c:pt>
                <c:pt idx="69">
                  <c:v>181.89137342174428</c:v>
                </c:pt>
                <c:pt idx="70">
                  <c:v>175.90545133695684</c:v>
                </c:pt>
                <c:pt idx="71">
                  <c:v>175.50786084210708</c:v>
                </c:pt>
                <c:pt idx="72">
                  <c:v>171.02857312017309</c:v>
                </c:pt>
                <c:pt idx="73">
                  <c:v>172.87453465576027</c:v>
                </c:pt>
                <c:pt idx="74">
                  <c:v>198.35130000000001</c:v>
                </c:pt>
                <c:pt idx="75">
                  <c:v>179.71798069576195</c:v>
                </c:pt>
                <c:pt idx="76">
                  <c:v>180.75590782680842</c:v>
                </c:pt>
                <c:pt idx="77">
                  <c:v>182.0559839578917</c:v>
                </c:pt>
                <c:pt idx="78">
                  <c:v>181.04385827321272</c:v>
                </c:pt>
                <c:pt idx="79">
                  <c:v>171.03725275888556</c:v>
                </c:pt>
                <c:pt idx="80">
                  <c:v>184.60343586909403</c:v>
                </c:pt>
                <c:pt idx="81">
                  <c:v>177.67576921646318</c:v>
                </c:pt>
                <c:pt idx="82">
                  <c:v>167.74049552933769</c:v>
                </c:pt>
                <c:pt idx="83">
                  <c:v>185.31303233920545</c:v>
                </c:pt>
                <c:pt idx="84">
                  <c:v>174.53262393927002</c:v>
                </c:pt>
                <c:pt idx="85">
                  <c:v>177.11948053182752</c:v>
                </c:pt>
                <c:pt idx="86">
                  <c:v>189.98481425272644</c:v>
                </c:pt>
                <c:pt idx="87">
                  <c:v>177.87573796224552</c:v>
                </c:pt>
                <c:pt idx="88">
                  <c:v>183.95618537371337</c:v>
                </c:pt>
                <c:pt idx="89">
                  <c:v>172.88206093203331</c:v>
                </c:pt>
                <c:pt idx="90">
                  <c:v>176.00647591840044</c:v>
                </c:pt>
                <c:pt idx="91">
                  <c:v>179.67795845749572</c:v>
                </c:pt>
                <c:pt idx="92">
                  <c:v>169.69276267415046</c:v>
                </c:pt>
                <c:pt idx="93">
                  <c:v>181.0771741669187</c:v>
                </c:pt>
                <c:pt idx="94">
                  <c:v>184.29529110495449</c:v>
                </c:pt>
                <c:pt idx="95">
                  <c:v>185.72471737575674</c:v>
                </c:pt>
                <c:pt idx="96">
                  <c:v>181.46628174514095</c:v>
                </c:pt>
                <c:pt idx="97">
                  <c:v>187.11803594930018</c:v>
                </c:pt>
              </c:numCache>
            </c:numRef>
          </c:xVal>
          <c:yVal>
            <c:numRef>
              <c:f>'scatterplot outlier'!$B$3:$B$100</c:f>
              <c:numCache>
                <c:formatCode>General</c:formatCode>
                <c:ptCount val="98"/>
                <c:pt idx="0">
                  <c:v>183.87603363983197</c:v>
                </c:pt>
                <c:pt idx="1">
                  <c:v>190.26863417787931</c:v>
                </c:pt>
                <c:pt idx="2">
                  <c:v>195.11449752811905</c:v>
                </c:pt>
                <c:pt idx="3">
                  <c:v>188.31577842515125</c:v>
                </c:pt>
                <c:pt idx="4">
                  <c:v>191.90451122721313</c:v>
                </c:pt>
                <c:pt idx="5">
                  <c:v>196.28605038122276</c:v>
                </c:pt>
                <c:pt idx="6">
                  <c:v>184.92455587220664</c:v>
                </c:pt>
                <c:pt idx="7">
                  <c:v>193.47232399762001</c:v>
                </c:pt>
                <c:pt idx="8">
                  <c:v>182.02970728900405</c:v>
                </c:pt>
                <c:pt idx="9">
                  <c:v>197.27713780830371</c:v>
                </c:pt>
                <c:pt idx="10">
                  <c:v>197.02649639815775</c:v>
                </c:pt>
                <c:pt idx="11">
                  <c:v>188.61431317348791</c:v>
                </c:pt>
                <c:pt idx="12">
                  <c:v>185.36736616341921</c:v>
                </c:pt>
                <c:pt idx="13">
                  <c:v>198.06032338568042</c:v>
                </c:pt>
                <c:pt idx="14">
                  <c:v>196.40648866940205</c:v>
                </c:pt>
                <c:pt idx="15">
                  <c:v>187.72388061569791</c:v>
                </c:pt>
                <c:pt idx="16">
                  <c:v>189.48251569188665</c:v>
                </c:pt>
                <c:pt idx="17">
                  <c:v>186.43582997689805</c:v>
                </c:pt>
                <c:pt idx="18">
                  <c:v>192.27498582502344</c:v>
                </c:pt>
                <c:pt idx="19">
                  <c:v>196.92013657723885</c:v>
                </c:pt>
                <c:pt idx="20">
                  <c:v>184.30619619698126</c:v>
                </c:pt>
                <c:pt idx="21">
                  <c:v>189.73026214119997</c:v>
                </c:pt>
                <c:pt idx="22">
                  <c:v>195.62581717256649</c:v>
                </c:pt>
                <c:pt idx="23">
                  <c:v>192.54492341476106</c:v>
                </c:pt>
                <c:pt idx="24">
                  <c:v>186.60330491467005</c:v>
                </c:pt>
                <c:pt idx="25">
                  <c:v>195.48382513257684</c:v>
                </c:pt>
                <c:pt idx="26">
                  <c:v>210.22016838002267</c:v>
                </c:pt>
                <c:pt idx="27">
                  <c:v>193.53823443448005</c:v>
                </c:pt>
                <c:pt idx="28">
                  <c:v>191.18888845369653</c:v>
                </c:pt>
                <c:pt idx="29">
                  <c:v>188.1900120385676</c:v>
                </c:pt>
                <c:pt idx="30">
                  <c:v>200.64276564067825</c:v>
                </c:pt>
                <c:pt idx="31">
                  <c:v>193.85043889430457</c:v>
                </c:pt>
                <c:pt idx="32">
                  <c:v>193.41716878157962</c:v>
                </c:pt>
                <c:pt idx="33">
                  <c:v>197.39908112757504</c:v>
                </c:pt>
                <c:pt idx="34">
                  <c:v>191.30713551202874</c:v>
                </c:pt>
                <c:pt idx="35">
                  <c:v>196.08209602661961</c:v>
                </c:pt>
                <c:pt idx="36">
                  <c:v>177.12531805435671</c:v>
                </c:pt>
                <c:pt idx="37">
                  <c:v>194.24401519397674</c:v>
                </c:pt>
                <c:pt idx="38">
                  <c:v>192.37611236390239</c:v>
                </c:pt>
                <c:pt idx="39">
                  <c:v>203.50103981970659</c:v>
                </c:pt>
                <c:pt idx="40">
                  <c:v>189.57129809668012</c:v>
                </c:pt>
                <c:pt idx="41">
                  <c:v>190.34670404312268</c:v>
                </c:pt>
                <c:pt idx="42">
                  <c:v>205.03629956389113</c:v>
                </c:pt>
                <c:pt idx="43">
                  <c:v>191.57058008542825</c:v>
                </c:pt>
                <c:pt idx="44">
                  <c:v>194.80112315736292</c:v>
                </c:pt>
                <c:pt idx="45">
                  <c:v>196.15966738356684</c:v>
                </c:pt>
                <c:pt idx="46">
                  <c:v>189.58760710306552</c:v>
                </c:pt>
                <c:pt idx="47">
                  <c:v>195.87705493035057</c:v>
                </c:pt>
                <c:pt idx="48">
                  <c:v>191.47870796790124</c:v>
                </c:pt>
                <c:pt idx="49">
                  <c:v>205.55507993167055</c:v>
                </c:pt>
                <c:pt idx="50">
                  <c:v>194.99720848876976</c:v>
                </c:pt>
                <c:pt idx="51">
                  <c:v>190.53191722473559</c:v>
                </c:pt>
                <c:pt idx="52">
                  <c:v>192.9854956573912</c:v>
                </c:pt>
                <c:pt idx="53">
                  <c:v>185.94314064770182</c:v>
                </c:pt>
                <c:pt idx="54">
                  <c:v>193.56085480272009</c:v>
                </c:pt>
                <c:pt idx="55">
                  <c:v>202.1797306354141</c:v>
                </c:pt>
                <c:pt idx="56">
                  <c:v>179.93918277176235</c:v>
                </c:pt>
                <c:pt idx="57">
                  <c:v>185.83311983933845</c:v>
                </c:pt>
                <c:pt idx="58">
                  <c:v>193.5338033903169</c:v>
                </c:pt>
                <c:pt idx="59">
                  <c:v>190.59794042373227</c:v>
                </c:pt>
                <c:pt idx="60">
                  <c:v>186.10328296233268</c:v>
                </c:pt>
                <c:pt idx="61">
                  <c:v>193.9968454108332</c:v>
                </c:pt>
                <c:pt idx="62">
                  <c:v>198.55571794702732</c:v>
                </c:pt>
                <c:pt idx="63">
                  <c:v>190.92127223581321</c:v>
                </c:pt>
                <c:pt idx="64">
                  <c:v>193.07300761214745</c:v>
                </c:pt>
                <c:pt idx="65">
                  <c:v>196.78967718793854</c:v>
                </c:pt>
                <c:pt idx="66">
                  <c:v>193.20187224688144</c:v>
                </c:pt>
                <c:pt idx="67">
                  <c:v>187.18923361326242</c:v>
                </c:pt>
                <c:pt idx="68">
                  <c:v>188.46123951020883</c:v>
                </c:pt>
                <c:pt idx="69">
                  <c:v>195.45291862565983</c:v>
                </c:pt>
                <c:pt idx="70">
                  <c:v>181.37824952506614</c:v>
                </c:pt>
                <c:pt idx="71">
                  <c:v>186.2929328498694</c:v>
                </c:pt>
                <c:pt idx="72">
                  <c:v>186.27493175269183</c:v>
                </c:pt>
                <c:pt idx="73">
                  <c:v>188.59919737539883</c:v>
                </c:pt>
                <c:pt idx="74">
                  <c:v>181.46546000000001</c:v>
                </c:pt>
                <c:pt idx="75">
                  <c:v>196.4574950315419</c:v>
                </c:pt>
                <c:pt idx="76">
                  <c:v>191.91327661390625</c:v>
                </c:pt>
                <c:pt idx="77">
                  <c:v>194.98091492218569</c:v>
                </c:pt>
                <c:pt idx="78">
                  <c:v>190.04213760853753</c:v>
                </c:pt>
                <c:pt idx="79">
                  <c:v>192.19539907864194</c:v>
                </c:pt>
                <c:pt idx="80">
                  <c:v>191.37987741421125</c:v>
                </c:pt>
                <c:pt idx="81">
                  <c:v>197.09559122437238</c:v>
                </c:pt>
                <c:pt idx="82">
                  <c:v>186.86023206428709</c:v>
                </c:pt>
                <c:pt idx="83">
                  <c:v>205.89189034123049</c:v>
                </c:pt>
                <c:pt idx="84">
                  <c:v>188.34916091651473</c:v>
                </c:pt>
                <c:pt idx="85">
                  <c:v>191.60574137519822</c:v>
                </c:pt>
                <c:pt idx="86">
                  <c:v>200.42476932471004</c:v>
                </c:pt>
                <c:pt idx="87">
                  <c:v>194.70322575739669</c:v>
                </c:pt>
                <c:pt idx="88">
                  <c:v>191.37747371929305</c:v>
                </c:pt>
                <c:pt idx="89">
                  <c:v>187.19905890666297</c:v>
                </c:pt>
                <c:pt idx="90">
                  <c:v>192.63914786123658</c:v>
                </c:pt>
                <c:pt idx="91">
                  <c:v>192.16207411780303</c:v>
                </c:pt>
                <c:pt idx="92">
                  <c:v>173.57682777553217</c:v>
                </c:pt>
                <c:pt idx="93">
                  <c:v>197.77017520499516</c:v>
                </c:pt>
                <c:pt idx="94">
                  <c:v>196.64642828966356</c:v>
                </c:pt>
                <c:pt idx="95">
                  <c:v>201.29640821996881</c:v>
                </c:pt>
                <c:pt idx="96">
                  <c:v>188.0315575466438</c:v>
                </c:pt>
                <c:pt idx="97">
                  <c:v>205.18337671708608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85-42B1-BB23-FDDE346BD1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3980192"/>
        <c:axId val="1273981504"/>
      </c:scatterChart>
      <c:valAx>
        <c:axId val="1273980192"/>
        <c:scaling>
          <c:orientation val="minMax"/>
          <c:min val="1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981504"/>
        <c:crosses val="autoZero"/>
        <c:crossBetween val="midCat"/>
      </c:valAx>
      <c:valAx>
        <c:axId val="1273981504"/>
        <c:scaling>
          <c:orientation val="minMax"/>
          <c:min val="1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980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'scatterplot outlier'!$A$2</c:f>
              <c:strCache>
                <c:ptCount val="1"/>
                <c:pt idx="0">
                  <c:v>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'scatterplot outlier'!$A$3:$A$100</c:f>
              <c:numCache>
                <c:formatCode>General</c:formatCode>
                <c:ptCount val="98"/>
                <c:pt idx="0">
                  <c:v>175.45940457928643</c:v>
                </c:pt>
                <c:pt idx="1">
                  <c:v>169.81175420950433</c:v>
                </c:pt>
                <c:pt idx="2">
                  <c:v>183.09044310732887</c:v>
                </c:pt>
                <c:pt idx="3">
                  <c:v>172.18563496849885</c:v>
                </c:pt>
                <c:pt idx="4">
                  <c:v>178.51373723733147</c:v>
                </c:pt>
                <c:pt idx="5">
                  <c:v>182.46300639622925</c:v>
                </c:pt>
                <c:pt idx="6">
                  <c:v>173.52158360176787</c:v>
                </c:pt>
                <c:pt idx="7">
                  <c:v>185.54651231287116</c:v>
                </c:pt>
                <c:pt idx="8">
                  <c:v>170.03929468020959</c:v>
                </c:pt>
                <c:pt idx="9">
                  <c:v>183.06074851652141</c:v>
                </c:pt>
                <c:pt idx="10">
                  <c:v>179.53574445561881</c:v>
                </c:pt>
                <c:pt idx="11">
                  <c:v>176.49359474036345</c:v>
                </c:pt>
                <c:pt idx="12">
                  <c:v>175.70209841578043</c:v>
                </c:pt>
                <c:pt idx="13">
                  <c:v>181.25286215384691</c:v>
                </c:pt>
                <c:pt idx="14">
                  <c:v>186.56530996580369</c:v>
                </c:pt>
                <c:pt idx="15">
                  <c:v>171.50363398572634</c:v>
                </c:pt>
                <c:pt idx="16">
                  <c:v>169.72652486507826</c:v>
                </c:pt>
                <c:pt idx="17">
                  <c:v>168.7351242871608</c:v>
                </c:pt>
                <c:pt idx="18">
                  <c:v>179.18620707697445</c:v>
                </c:pt>
                <c:pt idx="19">
                  <c:v>178.92440698205982</c:v>
                </c:pt>
                <c:pt idx="20">
                  <c:v>173.86979120694645</c:v>
                </c:pt>
                <c:pt idx="21">
                  <c:v>176.87459453784842</c:v>
                </c:pt>
                <c:pt idx="22">
                  <c:v>176.44706073513944</c:v>
                </c:pt>
                <c:pt idx="23">
                  <c:v>182.98922420915881</c:v>
                </c:pt>
                <c:pt idx="24">
                  <c:v>173.72519611559781</c:v>
                </c:pt>
                <c:pt idx="25">
                  <c:v>182.47633339431408</c:v>
                </c:pt>
                <c:pt idx="26">
                  <c:v>188.45194731833482</c:v>
                </c:pt>
                <c:pt idx="27">
                  <c:v>187.90808221380854</c:v>
                </c:pt>
                <c:pt idx="28">
                  <c:v>177.28214150548919</c:v>
                </c:pt>
                <c:pt idx="29">
                  <c:v>164.73287171973593</c:v>
                </c:pt>
                <c:pt idx="30">
                  <c:v>176.99596638533964</c:v>
                </c:pt>
                <c:pt idx="31">
                  <c:v>179.28176582247451</c:v>
                </c:pt>
                <c:pt idx="32">
                  <c:v>175.39694785299807</c:v>
                </c:pt>
                <c:pt idx="33">
                  <c:v>173.21345027741333</c:v>
                </c:pt>
                <c:pt idx="34">
                  <c:v>176.18912277823836</c:v>
                </c:pt>
                <c:pt idx="35">
                  <c:v>181.01804330098381</c:v>
                </c:pt>
                <c:pt idx="36">
                  <c:v>173.99202159319421</c:v>
                </c:pt>
                <c:pt idx="37">
                  <c:v>177.08805850674898</c:v>
                </c:pt>
                <c:pt idx="38">
                  <c:v>179.74516475097744</c:v>
                </c:pt>
                <c:pt idx="39">
                  <c:v>190.01780629258477</c:v>
                </c:pt>
                <c:pt idx="40">
                  <c:v>177.30165089628966</c:v>
                </c:pt>
                <c:pt idx="41">
                  <c:v>171.07215734490154</c:v>
                </c:pt>
                <c:pt idx="42">
                  <c:v>185.97816796640421</c:v>
                </c:pt>
                <c:pt idx="43">
                  <c:v>180.22027660305253</c:v>
                </c:pt>
                <c:pt idx="44">
                  <c:v>183.52654989137702</c:v>
                </c:pt>
                <c:pt idx="45">
                  <c:v>182.20274214029158</c:v>
                </c:pt>
                <c:pt idx="46">
                  <c:v>178.1353395910312</c:v>
                </c:pt>
                <c:pt idx="47">
                  <c:v>181.06625466937012</c:v>
                </c:pt>
                <c:pt idx="48">
                  <c:v>182.07554156910751</c:v>
                </c:pt>
                <c:pt idx="49">
                  <c:v>184.67264119798367</c:v>
                </c:pt>
                <c:pt idx="50">
                  <c:v>183.1136389508269</c:v>
                </c:pt>
                <c:pt idx="51">
                  <c:v>179.32825450261706</c:v>
                </c:pt>
                <c:pt idx="52">
                  <c:v>182.92832857748959</c:v>
                </c:pt>
                <c:pt idx="53">
                  <c:v>174.352931361364</c:v>
                </c:pt>
                <c:pt idx="54">
                  <c:v>175.65246232485083</c:v>
                </c:pt>
                <c:pt idx="55">
                  <c:v>184.03818945649377</c:v>
                </c:pt>
                <c:pt idx="56">
                  <c:v>172.81713516446374</c:v>
                </c:pt>
                <c:pt idx="57">
                  <c:v>181.61055755937636</c:v>
                </c:pt>
                <c:pt idx="58">
                  <c:v>177.4545342692214</c:v>
                </c:pt>
                <c:pt idx="59">
                  <c:v>184.50316794559248</c:v>
                </c:pt>
                <c:pt idx="60">
                  <c:v>176.64315836384122</c:v>
                </c:pt>
                <c:pt idx="61">
                  <c:v>176.24318295465605</c:v>
                </c:pt>
                <c:pt idx="62">
                  <c:v>183.1120313642682</c:v>
                </c:pt>
                <c:pt idx="63">
                  <c:v>176.6895542572405</c:v>
                </c:pt>
                <c:pt idx="64">
                  <c:v>179.85975191925141</c:v>
                </c:pt>
                <c:pt idx="65">
                  <c:v>183.88948816112298</c:v>
                </c:pt>
                <c:pt idx="66">
                  <c:v>183.09049954529624</c:v>
                </c:pt>
                <c:pt idx="67">
                  <c:v>179.59997523796949</c:v>
                </c:pt>
                <c:pt idx="68">
                  <c:v>183.93194389744357</c:v>
                </c:pt>
                <c:pt idx="69">
                  <c:v>181.89137342174428</c:v>
                </c:pt>
                <c:pt idx="70">
                  <c:v>175.90545133695684</c:v>
                </c:pt>
                <c:pt idx="71">
                  <c:v>175.50786084210708</c:v>
                </c:pt>
                <c:pt idx="72">
                  <c:v>171.02857312017309</c:v>
                </c:pt>
                <c:pt idx="73">
                  <c:v>172.87453465576027</c:v>
                </c:pt>
                <c:pt idx="74">
                  <c:v>198.35130000000001</c:v>
                </c:pt>
                <c:pt idx="75">
                  <c:v>179.71798069576195</c:v>
                </c:pt>
                <c:pt idx="76">
                  <c:v>180.75590782680842</c:v>
                </c:pt>
                <c:pt idx="77">
                  <c:v>182.0559839578917</c:v>
                </c:pt>
                <c:pt idx="78">
                  <c:v>181.04385827321272</c:v>
                </c:pt>
                <c:pt idx="79">
                  <c:v>171.03725275888556</c:v>
                </c:pt>
                <c:pt idx="80">
                  <c:v>184.60343586909403</c:v>
                </c:pt>
                <c:pt idx="81">
                  <c:v>177.67576921646318</c:v>
                </c:pt>
                <c:pt idx="82">
                  <c:v>167.74049552933769</c:v>
                </c:pt>
                <c:pt idx="83">
                  <c:v>185.31303233920545</c:v>
                </c:pt>
                <c:pt idx="84">
                  <c:v>174.53262393927002</c:v>
                </c:pt>
                <c:pt idx="85">
                  <c:v>177.11948053182752</c:v>
                </c:pt>
                <c:pt idx="86">
                  <c:v>189.98481425272644</c:v>
                </c:pt>
                <c:pt idx="87">
                  <c:v>177.87573796224552</c:v>
                </c:pt>
                <c:pt idx="88">
                  <c:v>183.95618537371337</c:v>
                </c:pt>
                <c:pt idx="89">
                  <c:v>172.88206093203331</c:v>
                </c:pt>
                <c:pt idx="90">
                  <c:v>176.00647591840044</c:v>
                </c:pt>
                <c:pt idx="91">
                  <c:v>179.67795845749572</c:v>
                </c:pt>
                <c:pt idx="92">
                  <c:v>169.69276267415046</c:v>
                </c:pt>
                <c:pt idx="93">
                  <c:v>181.0771741669187</c:v>
                </c:pt>
                <c:pt idx="94">
                  <c:v>184.29529110495449</c:v>
                </c:pt>
                <c:pt idx="95">
                  <c:v>185.72471737575674</c:v>
                </c:pt>
                <c:pt idx="96">
                  <c:v>181.46628174514095</c:v>
                </c:pt>
                <c:pt idx="97">
                  <c:v>187.11803594930018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30-4176-8270-E92374C588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3111464"/>
        <c:axId val="853106216"/>
      </c:lineChart>
      <c:catAx>
        <c:axId val="8531114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3106216"/>
        <c:crosses val="autoZero"/>
        <c:auto val="1"/>
        <c:lblAlgn val="ctr"/>
        <c:lblOffset val="100"/>
        <c:noMultiLvlLbl val="0"/>
      </c:catAx>
      <c:valAx>
        <c:axId val="853106216"/>
        <c:scaling>
          <c:orientation val="minMax"/>
          <c:min val="1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3111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'scatterplot outlier'!$B$2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'scatterplot outlier'!$B$3:$B$100</c:f>
              <c:numCache>
                <c:formatCode>General</c:formatCode>
                <c:ptCount val="98"/>
                <c:pt idx="0">
                  <c:v>183.87603363983197</c:v>
                </c:pt>
                <c:pt idx="1">
                  <c:v>190.26863417787931</c:v>
                </c:pt>
                <c:pt idx="2">
                  <c:v>195.11449752811905</c:v>
                </c:pt>
                <c:pt idx="3">
                  <c:v>188.31577842515125</c:v>
                </c:pt>
                <c:pt idx="4">
                  <c:v>191.90451122721313</c:v>
                </c:pt>
                <c:pt idx="5">
                  <c:v>196.28605038122276</c:v>
                </c:pt>
                <c:pt idx="6">
                  <c:v>184.92455587220664</c:v>
                </c:pt>
                <c:pt idx="7">
                  <c:v>193.47232399762001</c:v>
                </c:pt>
                <c:pt idx="8">
                  <c:v>182.02970728900405</c:v>
                </c:pt>
                <c:pt idx="9">
                  <c:v>197.27713780830371</c:v>
                </c:pt>
                <c:pt idx="10">
                  <c:v>197.02649639815775</c:v>
                </c:pt>
                <c:pt idx="11">
                  <c:v>188.61431317348791</c:v>
                </c:pt>
                <c:pt idx="12">
                  <c:v>185.36736616341921</c:v>
                </c:pt>
                <c:pt idx="13">
                  <c:v>198.06032338568042</c:v>
                </c:pt>
                <c:pt idx="14">
                  <c:v>196.40648866940205</c:v>
                </c:pt>
                <c:pt idx="15">
                  <c:v>187.72388061569791</c:v>
                </c:pt>
                <c:pt idx="16">
                  <c:v>189.48251569188665</c:v>
                </c:pt>
                <c:pt idx="17">
                  <c:v>186.43582997689805</c:v>
                </c:pt>
                <c:pt idx="18">
                  <c:v>192.27498582502344</c:v>
                </c:pt>
                <c:pt idx="19">
                  <c:v>196.92013657723885</c:v>
                </c:pt>
                <c:pt idx="20">
                  <c:v>184.30619619698126</c:v>
                </c:pt>
                <c:pt idx="21">
                  <c:v>189.73026214119997</c:v>
                </c:pt>
                <c:pt idx="22">
                  <c:v>195.62581717256649</c:v>
                </c:pt>
                <c:pt idx="23">
                  <c:v>192.54492341476106</c:v>
                </c:pt>
                <c:pt idx="24">
                  <c:v>186.60330491467005</c:v>
                </c:pt>
                <c:pt idx="25">
                  <c:v>195.48382513257684</c:v>
                </c:pt>
                <c:pt idx="26">
                  <c:v>210.22016838002267</c:v>
                </c:pt>
                <c:pt idx="27">
                  <c:v>193.53823443448005</c:v>
                </c:pt>
                <c:pt idx="28">
                  <c:v>191.18888845369653</c:v>
                </c:pt>
                <c:pt idx="29">
                  <c:v>188.1900120385676</c:v>
                </c:pt>
                <c:pt idx="30">
                  <c:v>200.64276564067825</c:v>
                </c:pt>
                <c:pt idx="31">
                  <c:v>193.85043889430457</c:v>
                </c:pt>
                <c:pt idx="32">
                  <c:v>193.41716878157962</c:v>
                </c:pt>
                <c:pt idx="33">
                  <c:v>197.39908112757504</c:v>
                </c:pt>
                <c:pt idx="34">
                  <c:v>191.30713551202874</c:v>
                </c:pt>
                <c:pt idx="35">
                  <c:v>196.08209602661961</c:v>
                </c:pt>
                <c:pt idx="36">
                  <c:v>177.12531805435671</c:v>
                </c:pt>
                <c:pt idx="37">
                  <c:v>194.24401519397674</c:v>
                </c:pt>
                <c:pt idx="38">
                  <c:v>192.37611236390239</c:v>
                </c:pt>
                <c:pt idx="39">
                  <c:v>203.50103981970659</c:v>
                </c:pt>
                <c:pt idx="40">
                  <c:v>189.57129809668012</c:v>
                </c:pt>
                <c:pt idx="41">
                  <c:v>190.34670404312268</c:v>
                </c:pt>
                <c:pt idx="42">
                  <c:v>205.03629956389113</c:v>
                </c:pt>
                <c:pt idx="43">
                  <c:v>191.57058008542825</c:v>
                </c:pt>
                <c:pt idx="44">
                  <c:v>194.80112315736292</c:v>
                </c:pt>
                <c:pt idx="45">
                  <c:v>196.15966738356684</c:v>
                </c:pt>
                <c:pt idx="46">
                  <c:v>189.58760710306552</c:v>
                </c:pt>
                <c:pt idx="47">
                  <c:v>195.87705493035057</c:v>
                </c:pt>
                <c:pt idx="48">
                  <c:v>191.47870796790124</c:v>
                </c:pt>
                <c:pt idx="49">
                  <c:v>205.55507993167055</c:v>
                </c:pt>
                <c:pt idx="50">
                  <c:v>194.99720848876976</c:v>
                </c:pt>
                <c:pt idx="51">
                  <c:v>190.53191722473559</c:v>
                </c:pt>
                <c:pt idx="52">
                  <c:v>192.9854956573912</c:v>
                </c:pt>
                <c:pt idx="53">
                  <c:v>185.94314064770182</c:v>
                </c:pt>
                <c:pt idx="54">
                  <c:v>193.56085480272009</c:v>
                </c:pt>
                <c:pt idx="55">
                  <c:v>202.1797306354141</c:v>
                </c:pt>
                <c:pt idx="56">
                  <c:v>179.93918277176235</c:v>
                </c:pt>
                <c:pt idx="57">
                  <c:v>185.83311983933845</c:v>
                </c:pt>
                <c:pt idx="58">
                  <c:v>193.5338033903169</c:v>
                </c:pt>
                <c:pt idx="59">
                  <c:v>190.59794042373227</c:v>
                </c:pt>
                <c:pt idx="60">
                  <c:v>186.10328296233268</c:v>
                </c:pt>
                <c:pt idx="61">
                  <c:v>193.9968454108332</c:v>
                </c:pt>
                <c:pt idx="62">
                  <c:v>198.55571794702732</c:v>
                </c:pt>
                <c:pt idx="63">
                  <c:v>190.92127223581321</c:v>
                </c:pt>
                <c:pt idx="64">
                  <c:v>193.07300761214745</c:v>
                </c:pt>
                <c:pt idx="65">
                  <c:v>196.78967718793854</c:v>
                </c:pt>
                <c:pt idx="66">
                  <c:v>193.20187224688144</c:v>
                </c:pt>
                <c:pt idx="67">
                  <c:v>187.18923361326242</c:v>
                </c:pt>
                <c:pt idx="68">
                  <c:v>188.46123951020883</c:v>
                </c:pt>
                <c:pt idx="69">
                  <c:v>195.45291862565983</c:v>
                </c:pt>
                <c:pt idx="70">
                  <c:v>181.37824952506614</c:v>
                </c:pt>
                <c:pt idx="71">
                  <c:v>186.2929328498694</c:v>
                </c:pt>
                <c:pt idx="72">
                  <c:v>186.27493175269183</c:v>
                </c:pt>
                <c:pt idx="73">
                  <c:v>188.59919737539883</c:v>
                </c:pt>
                <c:pt idx="74">
                  <c:v>181.46546000000001</c:v>
                </c:pt>
                <c:pt idx="75">
                  <c:v>196.4574950315419</c:v>
                </c:pt>
                <c:pt idx="76">
                  <c:v>191.91327661390625</c:v>
                </c:pt>
                <c:pt idx="77">
                  <c:v>194.98091492218569</c:v>
                </c:pt>
                <c:pt idx="78">
                  <c:v>190.04213760853753</c:v>
                </c:pt>
                <c:pt idx="79">
                  <c:v>192.19539907864194</c:v>
                </c:pt>
                <c:pt idx="80">
                  <c:v>191.37987741421125</c:v>
                </c:pt>
                <c:pt idx="81">
                  <c:v>197.09559122437238</c:v>
                </c:pt>
                <c:pt idx="82">
                  <c:v>186.86023206428709</c:v>
                </c:pt>
                <c:pt idx="83">
                  <c:v>205.89189034123049</c:v>
                </c:pt>
                <c:pt idx="84">
                  <c:v>188.34916091651473</c:v>
                </c:pt>
                <c:pt idx="85">
                  <c:v>191.60574137519822</c:v>
                </c:pt>
                <c:pt idx="86">
                  <c:v>200.42476932471004</c:v>
                </c:pt>
                <c:pt idx="87">
                  <c:v>194.70322575739669</c:v>
                </c:pt>
                <c:pt idx="88">
                  <c:v>191.37747371929305</c:v>
                </c:pt>
                <c:pt idx="89">
                  <c:v>187.19905890666297</c:v>
                </c:pt>
                <c:pt idx="90">
                  <c:v>192.63914786123658</c:v>
                </c:pt>
                <c:pt idx="91">
                  <c:v>192.16207411780303</c:v>
                </c:pt>
                <c:pt idx="92">
                  <c:v>173.57682777553217</c:v>
                </c:pt>
                <c:pt idx="93">
                  <c:v>197.77017520499516</c:v>
                </c:pt>
                <c:pt idx="94">
                  <c:v>196.64642828966356</c:v>
                </c:pt>
                <c:pt idx="95">
                  <c:v>201.29640821996881</c:v>
                </c:pt>
                <c:pt idx="96">
                  <c:v>188.0315575466438</c:v>
                </c:pt>
                <c:pt idx="97">
                  <c:v>205.18337671708608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DC-4EA8-8226-3D19D32734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3111464"/>
        <c:axId val="853106216"/>
      </c:lineChart>
      <c:catAx>
        <c:axId val="8531114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3106216"/>
        <c:crosses val="autoZero"/>
        <c:auto val="1"/>
        <c:lblAlgn val="ctr"/>
        <c:lblOffset val="100"/>
        <c:noMultiLvlLbl val="0"/>
      </c:catAx>
      <c:valAx>
        <c:axId val="853106216"/>
        <c:scaling>
          <c:orientation val="minMax"/>
          <c:min val="1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3111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scatter</a:t>
            </a:r>
            <a:r>
              <a:rPr lang="en-US" baseline="0"/>
              <a:t> plot no issues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'scatterplot outlier'!$B$2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'scatterplot outlier'!$A$3:$A$76</c:f>
              <c:numCache>
                <c:formatCode>General</c:formatCode>
                <c:ptCount val="74"/>
                <c:pt idx="0">
                  <c:v>175.45940457928643</c:v>
                </c:pt>
                <c:pt idx="1">
                  <c:v>169.81175420950433</c:v>
                </c:pt>
                <c:pt idx="2">
                  <c:v>183.09044310732887</c:v>
                </c:pt>
                <c:pt idx="3">
                  <c:v>172.18563496849885</c:v>
                </c:pt>
                <c:pt idx="4">
                  <c:v>178.51373723733147</c:v>
                </c:pt>
                <c:pt idx="5">
                  <c:v>182.46300639622925</c:v>
                </c:pt>
                <c:pt idx="6">
                  <c:v>173.52158360176787</c:v>
                </c:pt>
                <c:pt idx="7">
                  <c:v>185.54651231287116</c:v>
                </c:pt>
                <c:pt idx="8">
                  <c:v>170.03929468020959</c:v>
                </c:pt>
                <c:pt idx="9">
                  <c:v>183.06074851652141</c:v>
                </c:pt>
                <c:pt idx="10">
                  <c:v>179.53574445561881</c:v>
                </c:pt>
                <c:pt idx="11">
                  <c:v>176.49359474036345</c:v>
                </c:pt>
                <c:pt idx="12">
                  <c:v>175.70209841578043</c:v>
                </c:pt>
                <c:pt idx="13">
                  <c:v>181.25286215384691</c:v>
                </c:pt>
                <c:pt idx="14">
                  <c:v>186.56530996580369</c:v>
                </c:pt>
                <c:pt idx="15">
                  <c:v>171.50363398572634</c:v>
                </c:pt>
                <c:pt idx="16">
                  <c:v>169.72652486507826</c:v>
                </c:pt>
                <c:pt idx="17">
                  <c:v>168.7351242871608</c:v>
                </c:pt>
                <c:pt idx="18">
                  <c:v>179.18620707697445</c:v>
                </c:pt>
                <c:pt idx="19">
                  <c:v>178.92440698205982</c:v>
                </c:pt>
                <c:pt idx="20">
                  <c:v>173.86979120694645</c:v>
                </c:pt>
                <c:pt idx="21">
                  <c:v>176.87459453784842</c:v>
                </c:pt>
                <c:pt idx="22">
                  <c:v>176.44706073513944</c:v>
                </c:pt>
                <c:pt idx="23">
                  <c:v>182.98922420915881</c:v>
                </c:pt>
                <c:pt idx="24">
                  <c:v>173.72519611559781</c:v>
                </c:pt>
                <c:pt idx="25">
                  <c:v>182.47633339431408</c:v>
                </c:pt>
                <c:pt idx="26">
                  <c:v>188.45194731833482</c:v>
                </c:pt>
                <c:pt idx="27">
                  <c:v>187.90808221380854</c:v>
                </c:pt>
                <c:pt idx="28">
                  <c:v>177.28214150548919</c:v>
                </c:pt>
                <c:pt idx="29">
                  <c:v>164.73287171973593</c:v>
                </c:pt>
                <c:pt idx="30">
                  <c:v>176.99596638533964</c:v>
                </c:pt>
                <c:pt idx="31">
                  <c:v>179.28176582247451</c:v>
                </c:pt>
                <c:pt idx="32">
                  <c:v>175.39694785299807</c:v>
                </c:pt>
                <c:pt idx="33">
                  <c:v>173.21345027741333</c:v>
                </c:pt>
                <c:pt idx="34">
                  <c:v>176.18912277823836</c:v>
                </c:pt>
                <c:pt idx="35">
                  <c:v>181.01804330098381</c:v>
                </c:pt>
                <c:pt idx="36">
                  <c:v>173.99202159319421</c:v>
                </c:pt>
                <c:pt idx="37">
                  <c:v>177.08805850674898</c:v>
                </c:pt>
                <c:pt idx="38">
                  <c:v>179.74516475097744</c:v>
                </c:pt>
                <c:pt idx="39">
                  <c:v>190.01780629258477</c:v>
                </c:pt>
                <c:pt idx="40">
                  <c:v>177.30165089628966</c:v>
                </c:pt>
                <c:pt idx="41">
                  <c:v>171.07215734490154</c:v>
                </c:pt>
                <c:pt idx="42">
                  <c:v>185.97816796640421</c:v>
                </c:pt>
                <c:pt idx="43">
                  <c:v>180.22027660305253</c:v>
                </c:pt>
                <c:pt idx="44">
                  <c:v>183.52654989137702</c:v>
                </c:pt>
                <c:pt idx="45">
                  <c:v>182.20274214029158</c:v>
                </c:pt>
                <c:pt idx="46">
                  <c:v>178.1353395910312</c:v>
                </c:pt>
                <c:pt idx="47">
                  <c:v>181.06625466937012</c:v>
                </c:pt>
                <c:pt idx="48">
                  <c:v>182.07554156910751</c:v>
                </c:pt>
                <c:pt idx="49">
                  <c:v>184.67264119798367</c:v>
                </c:pt>
                <c:pt idx="50">
                  <c:v>183.1136389508269</c:v>
                </c:pt>
                <c:pt idx="51">
                  <c:v>179.32825450261706</c:v>
                </c:pt>
                <c:pt idx="52">
                  <c:v>182.92832857748959</c:v>
                </c:pt>
                <c:pt idx="53">
                  <c:v>174.352931361364</c:v>
                </c:pt>
                <c:pt idx="54">
                  <c:v>175.65246232485083</c:v>
                </c:pt>
                <c:pt idx="55">
                  <c:v>184.03818945649377</c:v>
                </c:pt>
                <c:pt idx="56">
                  <c:v>172.81713516446374</c:v>
                </c:pt>
                <c:pt idx="57">
                  <c:v>181.61055755937636</c:v>
                </c:pt>
                <c:pt idx="58">
                  <c:v>177.4545342692214</c:v>
                </c:pt>
                <c:pt idx="59">
                  <c:v>184.50316794559248</c:v>
                </c:pt>
                <c:pt idx="60">
                  <c:v>176.64315836384122</c:v>
                </c:pt>
                <c:pt idx="61">
                  <c:v>176.24318295465605</c:v>
                </c:pt>
                <c:pt idx="62">
                  <c:v>183.1120313642682</c:v>
                </c:pt>
                <c:pt idx="63">
                  <c:v>176.6895542572405</c:v>
                </c:pt>
                <c:pt idx="64">
                  <c:v>179.85975191925141</c:v>
                </c:pt>
                <c:pt idx="65">
                  <c:v>183.88948816112298</c:v>
                </c:pt>
                <c:pt idx="66">
                  <c:v>183.09049954529624</c:v>
                </c:pt>
                <c:pt idx="67">
                  <c:v>179.59997523796949</c:v>
                </c:pt>
                <c:pt idx="68">
                  <c:v>183.93194389744357</c:v>
                </c:pt>
                <c:pt idx="69">
                  <c:v>181.89137342174428</c:v>
                </c:pt>
                <c:pt idx="70">
                  <c:v>175.90545133695684</c:v>
                </c:pt>
                <c:pt idx="71">
                  <c:v>175.50786084210708</c:v>
                </c:pt>
                <c:pt idx="72">
                  <c:v>171.02857312017309</c:v>
                </c:pt>
                <c:pt idx="73">
                  <c:v>172.87453465576027</c:v>
                </c:pt>
              </c:numCache>
            </c:numRef>
          </c:xVal>
          <c:yVal>
            <c:numRef>
              <c:f>'scatterplot outlier'!$B$3:$B$76</c:f>
              <c:numCache>
                <c:formatCode>General</c:formatCode>
                <c:ptCount val="74"/>
                <c:pt idx="0">
                  <c:v>183.87603363983197</c:v>
                </c:pt>
                <c:pt idx="1">
                  <c:v>190.26863417787931</c:v>
                </c:pt>
                <c:pt idx="2">
                  <c:v>195.11449752811905</c:v>
                </c:pt>
                <c:pt idx="3">
                  <c:v>188.31577842515125</c:v>
                </c:pt>
                <c:pt idx="4">
                  <c:v>191.90451122721313</c:v>
                </c:pt>
                <c:pt idx="5">
                  <c:v>196.28605038122276</c:v>
                </c:pt>
                <c:pt idx="6">
                  <c:v>184.92455587220664</c:v>
                </c:pt>
                <c:pt idx="7">
                  <c:v>193.47232399762001</c:v>
                </c:pt>
                <c:pt idx="8">
                  <c:v>182.02970728900405</c:v>
                </c:pt>
                <c:pt idx="9">
                  <c:v>197.27713780830371</c:v>
                </c:pt>
                <c:pt idx="10">
                  <c:v>197.02649639815775</c:v>
                </c:pt>
                <c:pt idx="11">
                  <c:v>188.61431317348791</c:v>
                </c:pt>
                <c:pt idx="12">
                  <c:v>185.36736616341921</c:v>
                </c:pt>
                <c:pt idx="13">
                  <c:v>198.06032338568042</c:v>
                </c:pt>
                <c:pt idx="14">
                  <c:v>196.40648866940205</c:v>
                </c:pt>
                <c:pt idx="15">
                  <c:v>187.72388061569791</c:v>
                </c:pt>
                <c:pt idx="16">
                  <c:v>189.48251569188665</c:v>
                </c:pt>
                <c:pt idx="17">
                  <c:v>186.43582997689805</c:v>
                </c:pt>
                <c:pt idx="18">
                  <c:v>192.27498582502344</c:v>
                </c:pt>
                <c:pt idx="19">
                  <c:v>196.92013657723885</c:v>
                </c:pt>
                <c:pt idx="20">
                  <c:v>184.30619619698126</c:v>
                </c:pt>
                <c:pt idx="21">
                  <c:v>189.73026214119997</c:v>
                </c:pt>
                <c:pt idx="22">
                  <c:v>195.62581717256649</c:v>
                </c:pt>
                <c:pt idx="23">
                  <c:v>192.54492341476106</c:v>
                </c:pt>
                <c:pt idx="24">
                  <c:v>186.60330491467005</c:v>
                </c:pt>
                <c:pt idx="25">
                  <c:v>195.48382513257684</c:v>
                </c:pt>
                <c:pt idx="26">
                  <c:v>210.22016838002267</c:v>
                </c:pt>
                <c:pt idx="27">
                  <c:v>193.53823443448005</c:v>
                </c:pt>
                <c:pt idx="28">
                  <c:v>191.18888845369653</c:v>
                </c:pt>
                <c:pt idx="29">
                  <c:v>188.1900120385676</c:v>
                </c:pt>
                <c:pt idx="30">
                  <c:v>200.64276564067825</c:v>
                </c:pt>
                <c:pt idx="31">
                  <c:v>193.85043889430457</c:v>
                </c:pt>
                <c:pt idx="32">
                  <c:v>193.41716878157962</c:v>
                </c:pt>
                <c:pt idx="33">
                  <c:v>197.39908112757504</c:v>
                </c:pt>
                <c:pt idx="34">
                  <c:v>191.30713551202874</c:v>
                </c:pt>
                <c:pt idx="35">
                  <c:v>196.08209602661961</c:v>
                </c:pt>
                <c:pt idx="36">
                  <c:v>177.12531805435671</c:v>
                </c:pt>
                <c:pt idx="37">
                  <c:v>194.24401519397674</c:v>
                </c:pt>
                <c:pt idx="38">
                  <c:v>192.37611236390239</c:v>
                </c:pt>
                <c:pt idx="39">
                  <c:v>203.50103981970659</c:v>
                </c:pt>
                <c:pt idx="40">
                  <c:v>189.57129809668012</c:v>
                </c:pt>
                <c:pt idx="41">
                  <c:v>190.34670404312268</c:v>
                </c:pt>
                <c:pt idx="42">
                  <c:v>205.03629956389113</c:v>
                </c:pt>
                <c:pt idx="43">
                  <c:v>191.57058008542825</c:v>
                </c:pt>
                <c:pt idx="44">
                  <c:v>194.80112315736292</c:v>
                </c:pt>
                <c:pt idx="45">
                  <c:v>196.15966738356684</c:v>
                </c:pt>
                <c:pt idx="46">
                  <c:v>189.58760710306552</c:v>
                </c:pt>
                <c:pt idx="47">
                  <c:v>195.87705493035057</c:v>
                </c:pt>
                <c:pt idx="48">
                  <c:v>191.47870796790124</c:v>
                </c:pt>
                <c:pt idx="49">
                  <c:v>205.55507993167055</c:v>
                </c:pt>
                <c:pt idx="50">
                  <c:v>194.99720848876976</c:v>
                </c:pt>
                <c:pt idx="51">
                  <c:v>190.53191722473559</c:v>
                </c:pt>
                <c:pt idx="52">
                  <c:v>192.9854956573912</c:v>
                </c:pt>
                <c:pt idx="53">
                  <c:v>185.94314064770182</c:v>
                </c:pt>
                <c:pt idx="54">
                  <c:v>193.56085480272009</c:v>
                </c:pt>
                <c:pt idx="55">
                  <c:v>202.1797306354141</c:v>
                </c:pt>
                <c:pt idx="56">
                  <c:v>179.93918277176235</c:v>
                </c:pt>
                <c:pt idx="57">
                  <c:v>185.83311983933845</c:v>
                </c:pt>
                <c:pt idx="58">
                  <c:v>193.5338033903169</c:v>
                </c:pt>
                <c:pt idx="59">
                  <c:v>190.59794042373227</c:v>
                </c:pt>
                <c:pt idx="60">
                  <c:v>186.10328296233268</c:v>
                </c:pt>
                <c:pt idx="61">
                  <c:v>193.9968454108332</c:v>
                </c:pt>
                <c:pt idx="62">
                  <c:v>198.55571794702732</c:v>
                </c:pt>
                <c:pt idx="63">
                  <c:v>190.92127223581321</c:v>
                </c:pt>
                <c:pt idx="64">
                  <c:v>193.07300761214745</c:v>
                </c:pt>
                <c:pt idx="65">
                  <c:v>196.78967718793854</c:v>
                </c:pt>
                <c:pt idx="66">
                  <c:v>193.20187224688144</c:v>
                </c:pt>
                <c:pt idx="67">
                  <c:v>187.18923361326242</c:v>
                </c:pt>
                <c:pt idx="68">
                  <c:v>188.46123951020883</c:v>
                </c:pt>
                <c:pt idx="69">
                  <c:v>195.45291862565983</c:v>
                </c:pt>
                <c:pt idx="70">
                  <c:v>181.37824952506614</c:v>
                </c:pt>
                <c:pt idx="71">
                  <c:v>186.2929328498694</c:v>
                </c:pt>
                <c:pt idx="72">
                  <c:v>186.27493175269183</c:v>
                </c:pt>
                <c:pt idx="73">
                  <c:v>188.59919737539883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25-4AE7-B33D-D1F0ACC234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4220559"/>
        <c:axId val="764223055"/>
      </c:scatterChart>
      <c:valAx>
        <c:axId val="764220559"/>
        <c:scaling>
          <c:orientation val="minMax"/>
          <c:min val="15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223055"/>
        <c:crosses val="autoZero"/>
        <c:crossBetween val="midCat"/>
      </c:valAx>
      <c:valAx>
        <c:axId val="764223055"/>
        <c:scaling>
          <c:orientation val="minMax"/>
          <c:min val="1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2205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No Issues Histogram</cx:v>
        </cx:txData>
      </cx:tx>
      <cx:txPr>
        <a:bodyPr spcFirstLastPara="1" vertOverflow="ellipsis" wrap="square" lIns="0" tIns="0" rIns="0" bIns="0" anchor="ctr" anchorCtr="1"/>
        <a:lstStyle/>
        <a:p>
          <a:pPr algn="ctr">
            <a:defRPr/>
          </a:pPr>
          <a:r>
            <a:rPr lang="en-US"/>
            <a:t>No Issues Histogram</a:t>
          </a:r>
        </a:p>
      </cx:txPr>
    </cx:title>
    <cx:plotArea>
      <cx:plotAreaRegion>
        <cx:series layoutId="clusteredColumn" uniqueId="{D2D04264-9DAD-4F54-9A28-6114B93B9FDB}">
          <cx:tx>
            <cx:txData>
              <cx:f>_xlchart.v1.0</cx:f>
              <cx:v>No Issues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1 outlier Histogram</cx:v>
        </cx:txData>
      </cx:tx>
      <cx:txPr>
        <a:bodyPr spcFirstLastPara="1" vertOverflow="ellipsis" wrap="square" lIns="0" tIns="0" rIns="0" bIns="0" anchor="ctr" anchorCtr="1"/>
        <a:lstStyle/>
        <a:p>
          <a:pPr algn="ctr">
            <a:defRPr/>
          </a:pPr>
          <a:r>
            <a:rPr lang="en-US"/>
            <a:t>1 outlier Histogram</a:t>
          </a:r>
        </a:p>
      </cx:txPr>
    </cx:title>
    <cx:plotArea>
      <cx:plotAreaRegion>
        <cx:series layoutId="clusteredColumn" uniqueId="{D2D04264-9DAD-4F54-9A28-6114B93B9FDB}">
          <cx:tx>
            <cx:txData>
              <cx:f>_xlchart.v1.2</cx:f>
              <cx:v>No Issues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txData>
          <cx:v>No Issues Histogram</cx:v>
        </cx:txData>
      </cx:tx>
      <cx:txPr>
        <a:bodyPr spcFirstLastPara="1" vertOverflow="ellipsis" wrap="square" lIns="0" tIns="0" rIns="0" bIns="0" anchor="ctr" anchorCtr="1"/>
        <a:lstStyle/>
        <a:p>
          <a:pPr algn="ctr">
            <a:defRPr/>
          </a:pPr>
          <a:r>
            <a:rPr lang="en-US"/>
            <a:t>No Issues Histogram</a:t>
          </a:r>
        </a:p>
      </cx:txPr>
    </cx:title>
    <cx:plotArea>
      <cx:plotAreaRegion>
        <cx:series layoutId="clusteredColumn" uniqueId="{D2D04264-9DAD-4F54-9A28-6114B93B9FDB}">
          <cx:tx>
            <cx:txData>
              <cx:f>_xlchart.v1.4</cx:f>
              <cx:v>No Issues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</cx:f>
      </cx:numDim>
    </cx:data>
  </cx:chartData>
  <cx:chart>
    <cx:title pos="t" align="ctr" overlay="0">
      <cx:tx>
        <cx:txData>
          <cx:v>x</cx:v>
        </cx:txData>
      </cx:tx>
      <cx:txPr>
        <a:bodyPr spcFirstLastPara="1" vertOverflow="ellipsis" wrap="square" lIns="0" tIns="0" rIns="0" bIns="0" anchor="ctr" anchorCtr="1"/>
        <a:lstStyle/>
        <a:p>
          <a:pPr algn="ctr">
            <a:defRPr/>
          </a:pPr>
          <a:r>
            <a:rPr lang="en-US"/>
            <a:t>x</a:t>
          </a:r>
        </a:p>
      </cx:txPr>
    </cx:title>
    <cx:plotArea>
      <cx:plotAreaRegion>
        <cx:series layoutId="clusteredColumn" uniqueId="{3041ACCE-60C6-4077-8EF6-1290E5BD94B7}">
          <cx:tx>
            <cx:txData>
              <cx:f>_xlchart.v1.8</cx:f>
              <cx:v>x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title pos="t" align="ctr" overlay="0">
      <cx:tx>
        <cx:txData>
          <cx:v>y</cx:v>
        </cx:txData>
      </cx:tx>
      <cx:txPr>
        <a:bodyPr spcFirstLastPara="1" vertOverflow="ellipsis" wrap="square" lIns="0" tIns="0" rIns="0" bIns="0" anchor="ctr" anchorCtr="1"/>
        <a:lstStyle/>
        <a:p>
          <a:pPr algn="ctr">
            <a:defRPr/>
          </a:pPr>
          <a:r>
            <a:rPr lang="en-US"/>
            <a:t>y</a:t>
          </a:r>
        </a:p>
      </cx:txPr>
    </cx:title>
    <cx:plotArea>
      <cx:plotAreaRegion>
        <cx:series layoutId="clusteredColumn" uniqueId="{C2D976A5-4512-46B8-BCDB-2E75B34455C8}">
          <cx:tx>
            <cx:txData>
              <cx:f>_xlchart.v1.6</cx:f>
              <cx:v>y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microsoft.com/office/2014/relationships/chartEx" Target="../charts/chartEx3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7.xml"/><Relationship Id="rId5" Type="http://schemas.microsoft.com/office/2014/relationships/chartEx" Target="../charts/chartEx5.xml"/><Relationship Id="rId4" Type="http://schemas.microsoft.com/office/2014/relationships/chartEx" Target="../charts/chartEx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428625</xdr:colOff>
      <xdr:row>1</xdr:row>
      <xdr:rowOff>47625</xdr:rowOff>
    </xdr:from>
    <xdr:to>
      <xdr:col>19</xdr:col>
      <xdr:colOff>257175</xdr:colOff>
      <xdr:row>15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395287</xdr:colOff>
      <xdr:row>16</xdr:row>
      <xdr:rowOff>180975</xdr:rowOff>
    </xdr:from>
    <xdr:to>
      <xdr:col>19</xdr:col>
      <xdr:colOff>95250</xdr:colOff>
      <xdr:row>31</xdr:row>
      <xdr:rowOff>66675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05062" y="3228975"/>
              <a:ext cx="8843963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428625</xdr:colOff>
      <xdr:row>1</xdr:row>
      <xdr:rowOff>47625</xdr:rowOff>
    </xdr:from>
    <xdr:to>
      <xdr:col>19</xdr:col>
      <xdr:colOff>257175</xdr:colOff>
      <xdr:row>15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395287</xdr:colOff>
      <xdr:row>16</xdr:row>
      <xdr:rowOff>180975</xdr:rowOff>
    </xdr:from>
    <xdr:to>
      <xdr:col>19</xdr:col>
      <xdr:colOff>95250</xdr:colOff>
      <xdr:row>31</xdr:row>
      <xdr:rowOff>66675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00000000-0008-0000-0100-000003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05062" y="3228975"/>
              <a:ext cx="8843963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428625</xdr:colOff>
      <xdr:row>1</xdr:row>
      <xdr:rowOff>47625</xdr:rowOff>
    </xdr:from>
    <xdr:to>
      <xdr:col>19</xdr:col>
      <xdr:colOff>257175</xdr:colOff>
      <xdr:row>15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395287</xdr:colOff>
      <xdr:row>16</xdr:row>
      <xdr:rowOff>180975</xdr:rowOff>
    </xdr:from>
    <xdr:to>
      <xdr:col>19</xdr:col>
      <xdr:colOff>95250</xdr:colOff>
      <xdr:row>31</xdr:row>
      <xdr:rowOff>66675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00000000-0008-0000-0200-000003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05062" y="3228975"/>
              <a:ext cx="8843963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266700</xdr:colOff>
      <xdr:row>17</xdr:row>
      <xdr:rowOff>142875</xdr:rowOff>
    </xdr:from>
    <xdr:to>
      <xdr:col>25</xdr:col>
      <xdr:colOff>571500</xdr:colOff>
      <xdr:row>32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352425</xdr:colOff>
      <xdr:row>2</xdr:row>
      <xdr:rowOff>9525</xdr:rowOff>
    </xdr:from>
    <xdr:to>
      <xdr:col>10</xdr:col>
      <xdr:colOff>47625</xdr:colOff>
      <xdr:row>16</xdr:row>
      <xdr:rowOff>85725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371475</xdr:colOff>
      <xdr:row>16</xdr:row>
      <xdr:rowOff>180975</xdr:rowOff>
    </xdr:from>
    <xdr:to>
      <xdr:col>10</xdr:col>
      <xdr:colOff>66675</xdr:colOff>
      <xdr:row>31</xdr:row>
      <xdr:rowOff>66675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223837</xdr:colOff>
      <xdr:row>1</xdr:row>
      <xdr:rowOff>161925</xdr:rowOff>
    </xdr:from>
    <xdr:to>
      <xdr:col>17</xdr:col>
      <xdr:colOff>528637</xdr:colOff>
      <xdr:row>16</xdr:row>
      <xdr:rowOff>47625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00000000-0008-0000-0300-000007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19837" y="35242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185737</xdr:colOff>
      <xdr:row>16</xdr:row>
      <xdr:rowOff>171450</xdr:rowOff>
    </xdr:from>
    <xdr:to>
      <xdr:col>17</xdr:col>
      <xdr:colOff>490537</xdr:colOff>
      <xdr:row>31</xdr:row>
      <xdr:rowOff>57150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00000000-0008-0000-0300-000008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281737" y="32194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18</xdr:col>
      <xdr:colOff>276225</xdr:colOff>
      <xdr:row>2</xdr:row>
      <xdr:rowOff>42862</xdr:rowOff>
    </xdr:from>
    <xdr:to>
      <xdr:col>25</xdr:col>
      <xdr:colOff>581025</xdr:colOff>
      <xdr:row>16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430D69-D8B9-4836-AB3A-F5094885E0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205"/>
  <sheetViews>
    <sheetView tabSelected="1" workbookViewId="0">
      <selection activeCell="D11" sqref="D11"/>
    </sheetView>
  </sheetViews>
  <sheetFormatPr defaultRowHeight="15" x14ac:dyDescent="0.25"/>
  <cols>
    <col min="2" max="2" width="2.7109375" customWidth="1"/>
  </cols>
  <sheetData>
    <row r="2" spans="1:4" x14ac:dyDescent="0.25">
      <c r="A2" t="s">
        <v>0</v>
      </c>
      <c r="C2" t="s">
        <v>1</v>
      </c>
      <c r="D2">
        <f ca="1">AVERAGE(A:A)</f>
        <v>180.49595245770948</v>
      </c>
    </row>
    <row r="3" spans="1:4" x14ac:dyDescent="0.25">
      <c r="A3">
        <f ca="1">NORMINV(RAND(),180,6)</f>
        <v>177.76960599384779</v>
      </c>
      <c r="C3" t="s">
        <v>5</v>
      </c>
      <c r="D3">
        <f ca="1">MEDIAN(A:A)</f>
        <v>179.9396854199293</v>
      </c>
    </row>
    <row r="4" spans="1:4" x14ac:dyDescent="0.25">
      <c r="A4">
        <f t="shared" ref="A4:A67" ca="1" si="0">NORMINV(RAND(),180,6)</f>
        <v>182.43963381513501</v>
      </c>
      <c r="C4" t="s">
        <v>6</v>
      </c>
      <c r="D4" t="e">
        <f ca="1">MODE(A:A)</f>
        <v>#N/A</v>
      </c>
    </row>
    <row r="5" spans="1:4" x14ac:dyDescent="0.25">
      <c r="A5">
        <f t="shared" ca="1" si="0"/>
        <v>195.91588789024988</v>
      </c>
      <c r="C5" t="s">
        <v>2</v>
      </c>
      <c r="D5">
        <f ca="1">STDEV(A:A)</f>
        <v>6.2875572080464943</v>
      </c>
    </row>
    <row r="6" spans="1:4" x14ac:dyDescent="0.25">
      <c r="A6">
        <f t="shared" ca="1" si="0"/>
        <v>174.18298017339097</v>
      </c>
      <c r="C6" t="s">
        <v>3</v>
      </c>
      <c r="D6">
        <f ca="1">A:A</f>
        <v>174.18298017339097</v>
      </c>
    </row>
    <row r="7" spans="1:4" x14ac:dyDescent="0.25">
      <c r="A7">
        <f t="shared" ca="1" si="0"/>
        <v>176.18831904784449</v>
      </c>
      <c r="C7" t="s">
        <v>4</v>
      </c>
      <c r="D7">
        <f ca="1">MIN(A:A)</f>
        <v>160.65356196313786</v>
      </c>
    </row>
    <row r="8" spans="1:4" x14ac:dyDescent="0.25">
      <c r="A8">
        <f t="shared" ca="1" si="0"/>
        <v>179.9626329474018</v>
      </c>
    </row>
    <row r="9" spans="1:4" x14ac:dyDescent="0.25">
      <c r="A9">
        <f t="shared" ca="1" si="0"/>
        <v>184.53273199030147</v>
      </c>
    </row>
    <row r="10" spans="1:4" x14ac:dyDescent="0.25">
      <c r="A10">
        <f t="shared" ca="1" si="0"/>
        <v>178.79201369872368</v>
      </c>
    </row>
    <row r="11" spans="1:4" x14ac:dyDescent="0.25">
      <c r="A11">
        <f t="shared" ca="1" si="0"/>
        <v>189.36461559720098</v>
      </c>
    </row>
    <row r="12" spans="1:4" x14ac:dyDescent="0.25">
      <c r="A12">
        <f t="shared" ca="1" si="0"/>
        <v>180.50337944189641</v>
      </c>
    </row>
    <row r="13" spans="1:4" x14ac:dyDescent="0.25">
      <c r="A13">
        <f t="shared" ca="1" si="0"/>
        <v>177.21015478657088</v>
      </c>
    </row>
    <row r="14" spans="1:4" x14ac:dyDescent="0.25">
      <c r="A14">
        <f t="shared" ca="1" si="0"/>
        <v>181.01470866200319</v>
      </c>
    </row>
    <row r="15" spans="1:4" x14ac:dyDescent="0.25">
      <c r="A15">
        <f t="shared" ca="1" si="0"/>
        <v>169.02566893269082</v>
      </c>
    </row>
    <row r="16" spans="1:4" x14ac:dyDescent="0.25">
      <c r="A16">
        <f t="shared" ca="1" si="0"/>
        <v>187.11786131842825</v>
      </c>
    </row>
    <row r="17" spans="1:1" x14ac:dyDescent="0.25">
      <c r="A17">
        <f t="shared" ca="1" si="0"/>
        <v>170.77137852874441</v>
      </c>
    </row>
    <row r="18" spans="1:1" x14ac:dyDescent="0.25">
      <c r="A18">
        <f t="shared" ca="1" si="0"/>
        <v>184.35015469369353</v>
      </c>
    </row>
    <row r="19" spans="1:1" x14ac:dyDescent="0.25">
      <c r="A19">
        <f t="shared" ca="1" si="0"/>
        <v>170.61699859771696</v>
      </c>
    </row>
    <row r="20" spans="1:1" x14ac:dyDescent="0.25">
      <c r="A20">
        <f t="shared" ca="1" si="0"/>
        <v>183.40863760351735</v>
      </c>
    </row>
    <row r="21" spans="1:1" x14ac:dyDescent="0.25">
      <c r="A21">
        <f t="shared" ca="1" si="0"/>
        <v>193.48081961706322</v>
      </c>
    </row>
    <row r="22" spans="1:1" x14ac:dyDescent="0.25">
      <c r="A22">
        <f t="shared" ca="1" si="0"/>
        <v>178.40280715963183</v>
      </c>
    </row>
    <row r="23" spans="1:1" x14ac:dyDescent="0.25">
      <c r="A23">
        <f t="shared" ca="1" si="0"/>
        <v>177.40564401425527</v>
      </c>
    </row>
    <row r="24" spans="1:1" x14ac:dyDescent="0.25">
      <c r="A24">
        <f t="shared" ca="1" si="0"/>
        <v>170.3966908757067</v>
      </c>
    </row>
    <row r="25" spans="1:1" x14ac:dyDescent="0.25">
      <c r="A25">
        <f t="shared" ca="1" si="0"/>
        <v>179.11529580475079</v>
      </c>
    </row>
    <row r="26" spans="1:1" x14ac:dyDescent="0.25">
      <c r="A26">
        <f t="shared" ca="1" si="0"/>
        <v>183.88724212705873</v>
      </c>
    </row>
    <row r="27" spans="1:1" x14ac:dyDescent="0.25">
      <c r="A27">
        <f t="shared" ca="1" si="0"/>
        <v>193.0152723369844</v>
      </c>
    </row>
    <row r="28" spans="1:1" x14ac:dyDescent="0.25">
      <c r="A28">
        <f t="shared" ca="1" si="0"/>
        <v>184.80178344114466</v>
      </c>
    </row>
    <row r="29" spans="1:1" x14ac:dyDescent="0.25">
      <c r="A29">
        <f t="shared" ca="1" si="0"/>
        <v>183.60242897452949</v>
      </c>
    </row>
    <row r="30" spans="1:1" x14ac:dyDescent="0.25">
      <c r="A30">
        <f t="shared" ca="1" si="0"/>
        <v>183.62120899786478</v>
      </c>
    </row>
    <row r="31" spans="1:1" x14ac:dyDescent="0.25">
      <c r="A31">
        <f t="shared" ca="1" si="0"/>
        <v>176.20867317019542</v>
      </c>
    </row>
    <row r="32" spans="1:1" x14ac:dyDescent="0.25">
      <c r="A32">
        <f t="shared" ca="1" si="0"/>
        <v>185.5192170516269</v>
      </c>
    </row>
    <row r="33" spans="1:1" x14ac:dyDescent="0.25">
      <c r="A33">
        <f t="shared" ca="1" si="0"/>
        <v>170.14483166129673</v>
      </c>
    </row>
    <row r="34" spans="1:1" x14ac:dyDescent="0.25">
      <c r="A34">
        <f t="shared" ca="1" si="0"/>
        <v>185.76885989221765</v>
      </c>
    </row>
    <row r="35" spans="1:1" x14ac:dyDescent="0.25">
      <c r="A35">
        <f t="shared" ca="1" si="0"/>
        <v>175.09489088081565</v>
      </c>
    </row>
    <row r="36" spans="1:1" x14ac:dyDescent="0.25">
      <c r="A36">
        <f t="shared" ca="1" si="0"/>
        <v>174.45579647738404</v>
      </c>
    </row>
    <row r="37" spans="1:1" x14ac:dyDescent="0.25">
      <c r="A37">
        <f t="shared" ca="1" si="0"/>
        <v>176.54534028235761</v>
      </c>
    </row>
    <row r="38" spans="1:1" x14ac:dyDescent="0.25">
      <c r="A38">
        <f t="shared" ca="1" si="0"/>
        <v>178.45978804031526</v>
      </c>
    </row>
    <row r="39" spans="1:1" x14ac:dyDescent="0.25">
      <c r="A39">
        <f t="shared" ca="1" si="0"/>
        <v>175.05482860163875</v>
      </c>
    </row>
    <row r="40" spans="1:1" x14ac:dyDescent="0.25">
      <c r="A40">
        <f t="shared" ca="1" si="0"/>
        <v>191.65949469775148</v>
      </c>
    </row>
    <row r="41" spans="1:1" x14ac:dyDescent="0.25">
      <c r="A41">
        <f t="shared" ca="1" si="0"/>
        <v>176.3588091768963</v>
      </c>
    </row>
    <row r="42" spans="1:1" x14ac:dyDescent="0.25">
      <c r="A42">
        <f t="shared" ca="1" si="0"/>
        <v>180.78351508446246</v>
      </c>
    </row>
    <row r="43" spans="1:1" x14ac:dyDescent="0.25">
      <c r="A43">
        <f t="shared" ca="1" si="0"/>
        <v>179.95327277338114</v>
      </c>
    </row>
    <row r="44" spans="1:1" x14ac:dyDescent="0.25">
      <c r="A44">
        <f t="shared" ca="1" si="0"/>
        <v>174.09014944940785</v>
      </c>
    </row>
    <row r="45" spans="1:1" x14ac:dyDescent="0.25">
      <c r="A45">
        <f t="shared" ca="1" si="0"/>
        <v>181.79360108032535</v>
      </c>
    </row>
    <row r="46" spans="1:1" x14ac:dyDescent="0.25">
      <c r="A46">
        <f t="shared" ca="1" si="0"/>
        <v>176.69008502355311</v>
      </c>
    </row>
    <row r="47" spans="1:1" x14ac:dyDescent="0.25">
      <c r="A47">
        <f t="shared" ca="1" si="0"/>
        <v>189.90897614952499</v>
      </c>
    </row>
    <row r="48" spans="1:1" x14ac:dyDescent="0.25">
      <c r="A48">
        <f t="shared" ca="1" si="0"/>
        <v>187.30014968358665</v>
      </c>
    </row>
    <row r="49" spans="1:1" x14ac:dyDescent="0.25">
      <c r="A49">
        <f t="shared" ca="1" si="0"/>
        <v>172.21064271456794</v>
      </c>
    </row>
    <row r="50" spans="1:1" x14ac:dyDescent="0.25">
      <c r="A50">
        <f t="shared" ca="1" si="0"/>
        <v>190.12912168401127</v>
      </c>
    </row>
    <row r="51" spans="1:1" x14ac:dyDescent="0.25">
      <c r="A51">
        <f t="shared" ca="1" si="0"/>
        <v>184.62378775757401</v>
      </c>
    </row>
    <row r="52" spans="1:1" x14ac:dyDescent="0.25">
      <c r="A52">
        <f t="shared" ca="1" si="0"/>
        <v>179.77993864886079</v>
      </c>
    </row>
    <row r="53" spans="1:1" x14ac:dyDescent="0.25">
      <c r="A53">
        <f t="shared" ca="1" si="0"/>
        <v>167.62381428513822</v>
      </c>
    </row>
    <row r="54" spans="1:1" x14ac:dyDescent="0.25">
      <c r="A54">
        <f t="shared" ca="1" si="0"/>
        <v>175.62562975260573</v>
      </c>
    </row>
    <row r="55" spans="1:1" x14ac:dyDescent="0.25">
      <c r="A55">
        <f t="shared" ca="1" si="0"/>
        <v>183.03562156798088</v>
      </c>
    </row>
    <row r="56" spans="1:1" x14ac:dyDescent="0.25">
      <c r="A56">
        <f t="shared" ca="1" si="0"/>
        <v>174.77436208379319</v>
      </c>
    </row>
    <row r="57" spans="1:1" x14ac:dyDescent="0.25">
      <c r="A57">
        <f t="shared" ca="1" si="0"/>
        <v>190.37828710186588</v>
      </c>
    </row>
    <row r="58" spans="1:1" x14ac:dyDescent="0.25">
      <c r="A58">
        <f t="shared" ca="1" si="0"/>
        <v>179.1713589070564</v>
      </c>
    </row>
    <row r="59" spans="1:1" x14ac:dyDescent="0.25">
      <c r="A59">
        <f t="shared" ca="1" si="0"/>
        <v>173.98766281576044</v>
      </c>
    </row>
    <row r="60" spans="1:1" x14ac:dyDescent="0.25">
      <c r="A60">
        <f t="shared" ca="1" si="0"/>
        <v>184.04629041344126</v>
      </c>
    </row>
    <row r="61" spans="1:1" x14ac:dyDescent="0.25">
      <c r="A61">
        <f t="shared" ca="1" si="0"/>
        <v>176.02830613396952</v>
      </c>
    </row>
    <row r="62" spans="1:1" x14ac:dyDescent="0.25">
      <c r="A62">
        <f t="shared" ca="1" si="0"/>
        <v>167.16668184539404</v>
      </c>
    </row>
    <row r="63" spans="1:1" x14ac:dyDescent="0.25">
      <c r="A63">
        <f t="shared" ca="1" si="0"/>
        <v>183.94444786695212</v>
      </c>
    </row>
    <row r="64" spans="1:1" x14ac:dyDescent="0.25">
      <c r="A64">
        <f t="shared" ca="1" si="0"/>
        <v>189.28343904523433</v>
      </c>
    </row>
    <row r="65" spans="1:1" x14ac:dyDescent="0.25">
      <c r="A65">
        <f t="shared" ca="1" si="0"/>
        <v>181.49006062721983</v>
      </c>
    </row>
    <row r="66" spans="1:1" x14ac:dyDescent="0.25">
      <c r="A66">
        <f t="shared" ca="1" si="0"/>
        <v>182.2503888070647</v>
      </c>
    </row>
    <row r="67" spans="1:1" x14ac:dyDescent="0.25">
      <c r="A67">
        <f t="shared" ca="1" si="0"/>
        <v>176.68886829449886</v>
      </c>
    </row>
    <row r="68" spans="1:1" x14ac:dyDescent="0.25">
      <c r="A68">
        <f t="shared" ref="A68:A131" ca="1" si="1">NORMINV(RAND(),180,6)</f>
        <v>176.81954030800159</v>
      </c>
    </row>
    <row r="69" spans="1:1" x14ac:dyDescent="0.25">
      <c r="A69">
        <f t="shared" ca="1" si="1"/>
        <v>178.65453472435786</v>
      </c>
    </row>
    <row r="70" spans="1:1" x14ac:dyDescent="0.25">
      <c r="A70">
        <f t="shared" ca="1" si="1"/>
        <v>179.24173066664335</v>
      </c>
    </row>
    <row r="71" spans="1:1" x14ac:dyDescent="0.25">
      <c r="A71">
        <f t="shared" ca="1" si="1"/>
        <v>173.08861052722969</v>
      </c>
    </row>
    <row r="72" spans="1:1" x14ac:dyDescent="0.25">
      <c r="A72">
        <f t="shared" ca="1" si="1"/>
        <v>179.67868405720742</v>
      </c>
    </row>
    <row r="73" spans="1:1" x14ac:dyDescent="0.25">
      <c r="A73">
        <f t="shared" ca="1" si="1"/>
        <v>176.41134065900573</v>
      </c>
    </row>
    <row r="74" spans="1:1" x14ac:dyDescent="0.25">
      <c r="A74">
        <f t="shared" ca="1" si="1"/>
        <v>179.1830318439327</v>
      </c>
    </row>
    <row r="75" spans="1:1" x14ac:dyDescent="0.25">
      <c r="A75">
        <f t="shared" ca="1" si="1"/>
        <v>170.99145324734243</v>
      </c>
    </row>
    <row r="76" spans="1:1" x14ac:dyDescent="0.25">
      <c r="A76">
        <f t="shared" ca="1" si="1"/>
        <v>189.37988776087769</v>
      </c>
    </row>
    <row r="77" spans="1:1" x14ac:dyDescent="0.25">
      <c r="A77">
        <f t="shared" ca="1" si="1"/>
        <v>182.21933590215909</v>
      </c>
    </row>
    <row r="78" spans="1:1" x14ac:dyDescent="0.25">
      <c r="A78">
        <f t="shared" ca="1" si="1"/>
        <v>191.16415349053685</v>
      </c>
    </row>
    <row r="79" spans="1:1" x14ac:dyDescent="0.25">
      <c r="A79">
        <f t="shared" ca="1" si="1"/>
        <v>190.72717283898496</v>
      </c>
    </row>
    <row r="80" spans="1:1" x14ac:dyDescent="0.25">
      <c r="A80">
        <f t="shared" ca="1" si="1"/>
        <v>190.7125959695806</v>
      </c>
    </row>
    <row r="81" spans="1:1" x14ac:dyDescent="0.25">
      <c r="A81">
        <f t="shared" ca="1" si="1"/>
        <v>183.34220568827217</v>
      </c>
    </row>
    <row r="82" spans="1:1" x14ac:dyDescent="0.25">
      <c r="A82">
        <f t="shared" ca="1" si="1"/>
        <v>176.23199843068593</v>
      </c>
    </row>
    <row r="83" spans="1:1" x14ac:dyDescent="0.25">
      <c r="A83">
        <f t="shared" ca="1" si="1"/>
        <v>186.03542159407212</v>
      </c>
    </row>
    <row r="84" spans="1:1" x14ac:dyDescent="0.25">
      <c r="A84">
        <f t="shared" ca="1" si="1"/>
        <v>175.1203663808256</v>
      </c>
    </row>
    <row r="85" spans="1:1" x14ac:dyDescent="0.25">
      <c r="A85">
        <f t="shared" ca="1" si="1"/>
        <v>183.98870253971288</v>
      </c>
    </row>
    <row r="86" spans="1:1" x14ac:dyDescent="0.25">
      <c r="A86">
        <f t="shared" ca="1" si="1"/>
        <v>188.22449383993126</v>
      </c>
    </row>
    <row r="87" spans="1:1" x14ac:dyDescent="0.25">
      <c r="A87">
        <f t="shared" ca="1" si="1"/>
        <v>177.5057960712339</v>
      </c>
    </row>
    <row r="88" spans="1:1" x14ac:dyDescent="0.25">
      <c r="A88">
        <f t="shared" ca="1" si="1"/>
        <v>176.97524571965633</v>
      </c>
    </row>
    <row r="89" spans="1:1" x14ac:dyDescent="0.25">
      <c r="A89">
        <f t="shared" ca="1" si="1"/>
        <v>173.83540562162366</v>
      </c>
    </row>
    <row r="90" spans="1:1" x14ac:dyDescent="0.25">
      <c r="A90">
        <f t="shared" ca="1" si="1"/>
        <v>183.73108252512782</v>
      </c>
    </row>
    <row r="91" spans="1:1" x14ac:dyDescent="0.25">
      <c r="A91">
        <f t="shared" ca="1" si="1"/>
        <v>178.23242347517558</v>
      </c>
    </row>
    <row r="92" spans="1:1" x14ac:dyDescent="0.25">
      <c r="A92">
        <f t="shared" ca="1" si="1"/>
        <v>190.04371965487908</v>
      </c>
    </row>
    <row r="93" spans="1:1" x14ac:dyDescent="0.25">
      <c r="A93">
        <f t="shared" ca="1" si="1"/>
        <v>180.80959971925654</v>
      </c>
    </row>
    <row r="94" spans="1:1" x14ac:dyDescent="0.25">
      <c r="A94">
        <f t="shared" ca="1" si="1"/>
        <v>187.5407229804164</v>
      </c>
    </row>
    <row r="95" spans="1:1" x14ac:dyDescent="0.25">
      <c r="A95">
        <f t="shared" ca="1" si="1"/>
        <v>191.73983044079395</v>
      </c>
    </row>
    <row r="96" spans="1:1" x14ac:dyDescent="0.25">
      <c r="A96">
        <f t="shared" ca="1" si="1"/>
        <v>187.54698716767442</v>
      </c>
    </row>
    <row r="97" spans="1:1" x14ac:dyDescent="0.25">
      <c r="A97">
        <f t="shared" ca="1" si="1"/>
        <v>191.87413215961013</v>
      </c>
    </row>
    <row r="98" spans="1:1" x14ac:dyDescent="0.25">
      <c r="A98">
        <f t="shared" ca="1" si="1"/>
        <v>180.03174530453836</v>
      </c>
    </row>
    <row r="99" spans="1:1" x14ac:dyDescent="0.25">
      <c r="A99">
        <f t="shared" ca="1" si="1"/>
        <v>182.0347054807722</v>
      </c>
    </row>
    <row r="100" spans="1:1" x14ac:dyDescent="0.25">
      <c r="A100">
        <f t="shared" ca="1" si="1"/>
        <v>182.76801146532625</v>
      </c>
    </row>
    <row r="101" spans="1:1" x14ac:dyDescent="0.25">
      <c r="A101">
        <f t="shared" ca="1" si="1"/>
        <v>181.92610770145018</v>
      </c>
    </row>
    <row r="102" spans="1:1" x14ac:dyDescent="0.25">
      <c r="A102">
        <f t="shared" ca="1" si="1"/>
        <v>185.80562389442215</v>
      </c>
    </row>
    <row r="103" spans="1:1" x14ac:dyDescent="0.25">
      <c r="A103">
        <f t="shared" ca="1" si="1"/>
        <v>177.7767163834522</v>
      </c>
    </row>
    <row r="104" spans="1:1" x14ac:dyDescent="0.25">
      <c r="A104">
        <f t="shared" ca="1" si="1"/>
        <v>169.67614783962253</v>
      </c>
    </row>
    <row r="105" spans="1:1" x14ac:dyDescent="0.25">
      <c r="A105">
        <f t="shared" ca="1" si="1"/>
        <v>189.86383017413129</v>
      </c>
    </row>
    <row r="106" spans="1:1" x14ac:dyDescent="0.25">
      <c r="A106">
        <f t="shared" ca="1" si="1"/>
        <v>189.89079556243681</v>
      </c>
    </row>
    <row r="107" spans="1:1" x14ac:dyDescent="0.25">
      <c r="A107">
        <f t="shared" ca="1" si="1"/>
        <v>175.03309400046354</v>
      </c>
    </row>
    <row r="108" spans="1:1" x14ac:dyDescent="0.25">
      <c r="A108">
        <f t="shared" ca="1" si="1"/>
        <v>184.67212106432234</v>
      </c>
    </row>
    <row r="109" spans="1:1" x14ac:dyDescent="0.25">
      <c r="A109">
        <f t="shared" ca="1" si="1"/>
        <v>172.03993279636921</v>
      </c>
    </row>
    <row r="110" spans="1:1" x14ac:dyDescent="0.25">
      <c r="A110">
        <f t="shared" ca="1" si="1"/>
        <v>166.59226662680243</v>
      </c>
    </row>
    <row r="111" spans="1:1" x14ac:dyDescent="0.25">
      <c r="A111">
        <f t="shared" ca="1" si="1"/>
        <v>182.70670370632951</v>
      </c>
    </row>
    <row r="112" spans="1:1" x14ac:dyDescent="0.25">
      <c r="A112">
        <f t="shared" ca="1" si="1"/>
        <v>180.28696565690908</v>
      </c>
    </row>
    <row r="113" spans="1:1" x14ac:dyDescent="0.25">
      <c r="A113">
        <f t="shared" ca="1" si="1"/>
        <v>176.53115123930576</v>
      </c>
    </row>
    <row r="114" spans="1:1" x14ac:dyDescent="0.25">
      <c r="A114">
        <f t="shared" ca="1" si="1"/>
        <v>181.3189626327746</v>
      </c>
    </row>
    <row r="115" spans="1:1" x14ac:dyDescent="0.25">
      <c r="A115">
        <f t="shared" ca="1" si="1"/>
        <v>176.03458714244201</v>
      </c>
    </row>
    <row r="116" spans="1:1" x14ac:dyDescent="0.25">
      <c r="A116">
        <f t="shared" ca="1" si="1"/>
        <v>176.14503844829278</v>
      </c>
    </row>
    <row r="117" spans="1:1" x14ac:dyDescent="0.25">
      <c r="A117">
        <f t="shared" ca="1" si="1"/>
        <v>179.19182103650246</v>
      </c>
    </row>
    <row r="118" spans="1:1" x14ac:dyDescent="0.25">
      <c r="A118">
        <f t="shared" ca="1" si="1"/>
        <v>187.99538331831877</v>
      </c>
    </row>
    <row r="119" spans="1:1" x14ac:dyDescent="0.25">
      <c r="A119">
        <f t="shared" ca="1" si="1"/>
        <v>172.73719778807069</v>
      </c>
    </row>
    <row r="120" spans="1:1" x14ac:dyDescent="0.25">
      <c r="A120">
        <f t="shared" ca="1" si="1"/>
        <v>187.35716236710763</v>
      </c>
    </row>
    <row r="121" spans="1:1" x14ac:dyDescent="0.25">
      <c r="A121">
        <f t="shared" ca="1" si="1"/>
        <v>181.06896240423688</v>
      </c>
    </row>
    <row r="122" spans="1:1" x14ac:dyDescent="0.25">
      <c r="A122">
        <f t="shared" ca="1" si="1"/>
        <v>182.96020076730002</v>
      </c>
    </row>
    <row r="123" spans="1:1" x14ac:dyDescent="0.25">
      <c r="A123">
        <f t="shared" ca="1" si="1"/>
        <v>169.57348841529279</v>
      </c>
    </row>
    <row r="124" spans="1:1" x14ac:dyDescent="0.25">
      <c r="A124">
        <f t="shared" ca="1" si="1"/>
        <v>177.18297283683799</v>
      </c>
    </row>
    <row r="125" spans="1:1" x14ac:dyDescent="0.25">
      <c r="A125">
        <f t="shared" ca="1" si="1"/>
        <v>173.63145383685213</v>
      </c>
    </row>
    <row r="126" spans="1:1" x14ac:dyDescent="0.25">
      <c r="A126">
        <f t="shared" ca="1" si="1"/>
        <v>174.21862583964648</v>
      </c>
    </row>
    <row r="127" spans="1:1" x14ac:dyDescent="0.25">
      <c r="A127">
        <f t="shared" ca="1" si="1"/>
        <v>174.71068231335624</v>
      </c>
    </row>
    <row r="128" spans="1:1" x14ac:dyDescent="0.25">
      <c r="A128">
        <f t="shared" ca="1" si="1"/>
        <v>175.44636189107572</v>
      </c>
    </row>
    <row r="129" spans="1:1" x14ac:dyDescent="0.25">
      <c r="A129">
        <f t="shared" ca="1" si="1"/>
        <v>179.38147857777824</v>
      </c>
    </row>
    <row r="130" spans="1:1" x14ac:dyDescent="0.25">
      <c r="A130">
        <f t="shared" ca="1" si="1"/>
        <v>177.69456044022624</v>
      </c>
    </row>
    <row r="131" spans="1:1" x14ac:dyDescent="0.25">
      <c r="A131">
        <f t="shared" ca="1" si="1"/>
        <v>179.47176416406651</v>
      </c>
    </row>
    <row r="132" spans="1:1" x14ac:dyDescent="0.25">
      <c r="A132">
        <f t="shared" ref="A132:A195" ca="1" si="2">NORMINV(RAND(),180,6)</f>
        <v>178.28121089233227</v>
      </c>
    </row>
    <row r="133" spans="1:1" x14ac:dyDescent="0.25">
      <c r="A133">
        <f t="shared" ca="1" si="2"/>
        <v>179.76649961482701</v>
      </c>
    </row>
    <row r="134" spans="1:1" x14ac:dyDescent="0.25">
      <c r="A134">
        <f t="shared" ca="1" si="2"/>
        <v>178.25835790918788</v>
      </c>
    </row>
    <row r="135" spans="1:1" x14ac:dyDescent="0.25">
      <c r="A135">
        <f t="shared" ca="1" si="2"/>
        <v>178.35704866542252</v>
      </c>
    </row>
    <row r="136" spans="1:1" x14ac:dyDescent="0.25">
      <c r="A136">
        <f t="shared" ca="1" si="2"/>
        <v>175.3639693671777</v>
      </c>
    </row>
    <row r="137" spans="1:1" x14ac:dyDescent="0.25">
      <c r="A137">
        <f t="shared" ca="1" si="2"/>
        <v>182.66421952210356</v>
      </c>
    </row>
    <row r="138" spans="1:1" x14ac:dyDescent="0.25">
      <c r="A138">
        <f t="shared" ca="1" si="2"/>
        <v>188.36265398274611</v>
      </c>
    </row>
    <row r="139" spans="1:1" x14ac:dyDescent="0.25">
      <c r="A139">
        <f t="shared" ca="1" si="2"/>
        <v>190.88058887992457</v>
      </c>
    </row>
    <row r="140" spans="1:1" x14ac:dyDescent="0.25">
      <c r="A140">
        <f t="shared" ca="1" si="2"/>
        <v>188.76870395095253</v>
      </c>
    </row>
    <row r="141" spans="1:1" x14ac:dyDescent="0.25">
      <c r="A141">
        <f t="shared" ca="1" si="2"/>
        <v>176.89107542244471</v>
      </c>
    </row>
    <row r="142" spans="1:1" x14ac:dyDescent="0.25">
      <c r="A142">
        <f t="shared" ca="1" si="2"/>
        <v>179.00649011634766</v>
      </c>
    </row>
    <row r="143" spans="1:1" x14ac:dyDescent="0.25">
      <c r="A143">
        <f t="shared" ca="1" si="2"/>
        <v>179.27057347638168</v>
      </c>
    </row>
    <row r="144" spans="1:1" x14ac:dyDescent="0.25">
      <c r="A144">
        <f t="shared" ca="1" si="2"/>
        <v>187.21865735425783</v>
      </c>
    </row>
    <row r="145" spans="1:1" x14ac:dyDescent="0.25">
      <c r="A145">
        <f t="shared" ca="1" si="2"/>
        <v>179.9396854199293</v>
      </c>
    </row>
    <row r="146" spans="1:1" x14ac:dyDescent="0.25">
      <c r="A146">
        <f t="shared" ca="1" si="2"/>
        <v>181.49390912501141</v>
      </c>
    </row>
    <row r="147" spans="1:1" x14ac:dyDescent="0.25">
      <c r="A147">
        <f t="shared" ca="1" si="2"/>
        <v>173.35616941619386</v>
      </c>
    </row>
    <row r="148" spans="1:1" x14ac:dyDescent="0.25">
      <c r="A148">
        <f t="shared" ca="1" si="2"/>
        <v>178.006019205396</v>
      </c>
    </row>
    <row r="149" spans="1:1" x14ac:dyDescent="0.25">
      <c r="A149">
        <f t="shared" ca="1" si="2"/>
        <v>182.38978503415117</v>
      </c>
    </row>
    <row r="150" spans="1:1" x14ac:dyDescent="0.25">
      <c r="A150">
        <f t="shared" ca="1" si="2"/>
        <v>182.98492067310247</v>
      </c>
    </row>
    <row r="151" spans="1:1" x14ac:dyDescent="0.25">
      <c r="A151">
        <f t="shared" ca="1" si="2"/>
        <v>178.53942933747308</v>
      </c>
    </row>
    <row r="152" spans="1:1" x14ac:dyDescent="0.25">
      <c r="A152">
        <f t="shared" ca="1" si="2"/>
        <v>171.32892719571686</v>
      </c>
    </row>
    <row r="153" spans="1:1" x14ac:dyDescent="0.25">
      <c r="A153">
        <f t="shared" ca="1" si="2"/>
        <v>176.37447475639794</v>
      </c>
    </row>
    <row r="154" spans="1:1" x14ac:dyDescent="0.25">
      <c r="A154">
        <f t="shared" ca="1" si="2"/>
        <v>185.34372142625054</v>
      </c>
    </row>
    <row r="155" spans="1:1" x14ac:dyDescent="0.25">
      <c r="A155">
        <f t="shared" ca="1" si="2"/>
        <v>186.76999951712671</v>
      </c>
    </row>
    <row r="156" spans="1:1" x14ac:dyDescent="0.25">
      <c r="A156">
        <f t="shared" ca="1" si="2"/>
        <v>180.25603295409576</v>
      </c>
    </row>
    <row r="157" spans="1:1" x14ac:dyDescent="0.25">
      <c r="A157">
        <f t="shared" ca="1" si="2"/>
        <v>182.42516554310669</v>
      </c>
    </row>
    <row r="158" spans="1:1" x14ac:dyDescent="0.25">
      <c r="A158">
        <f t="shared" ca="1" si="2"/>
        <v>184.00068551882515</v>
      </c>
    </row>
    <row r="159" spans="1:1" x14ac:dyDescent="0.25">
      <c r="A159">
        <f t="shared" ca="1" si="2"/>
        <v>183.63126508181477</v>
      </c>
    </row>
    <row r="160" spans="1:1" x14ac:dyDescent="0.25">
      <c r="A160">
        <f t="shared" ca="1" si="2"/>
        <v>174.79548668689239</v>
      </c>
    </row>
    <row r="161" spans="1:1" x14ac:dyDescent="0.25">
      <c r="A161">
        <f t="shared" ca="1" si="2"/>
        <v>187.83583359331746</v>
      </c>
    </row>
    <row r="162" spans="1:1" x14ac:dyDescent="0.25">
      <c r="A162">
        <f t="shared" ca="1" si="2"/>
        <v>176.90604642162896</v>
      </c>
    </row>
    <row r="163" spans="1:1" x14ac:dyDescent="0.25">
      <c r="A163">
        <f t="shared" ca="1" si="2"/>
        <v>175.04695334972382</v>
      </c>
    </row>
    <row r="164" spans="1:1" x14ac:dyDescent="0.25">
      <c r="A164">
        <f t="shared" ca="1" si="2"/>
        <v>172.7528895980476</v>
      </c>
    </row>
    <row r="165" spans="1:1" x14ac:dyDescent="0.25">
      <c r="A165">
        <f t="shared" ca="1" si="2"/>
        <v>194.84634479931873</v>
      </c>
    </row>
    <row r="166" spans="1:1" x14ac:dyDescent="0.25">
      <c r="A166">
        <f t="shared" ca="1" si="2"/>
        <v>183.94309991867672</v>
      </c>
    </row>
    <row r="167" spans="1:1" x14ac:dyDescent="0.25">
      <c r="A167">
        <f t="shared" ca="1" si="2"/>
        <v>167.02406257229856</v>
      </c>
    </row>
    <row r="168" spans="1:1" x14ac:dyDescent="0.25">
      <c r="A168">
        <f t="shared" ca="1" si="2"/>
        <v>173.60511472745088</v>
      </c>
    </row>
    <row r="169" spans="1:1" x14ac:dyDescent="0.25">
      <c r="A169">
        <f t="shared" ca="1" si="2"/>
        <v>176.66095508369077</v>
      </c>
    </row>
    <row r="170" spans="1:1" x14ac:dyDescent="0.25">
      <c r="A170">
        <f t="shared" ca="1" si="2"/>
        <v>181.93389224753946</v>
      </c>
    </row>
    <row r="171" spans="1:1" x14ac:dyDescent="0.25">
      <c r="A171">
        <f t="shared" ca="1" si="2"/>
        <v>185.68154277878733</v>
      </c>
    </row>
    <row r="172" spans="1:1" x14ac:dyDescent="0.25">
      <c r="A172">
        <f t="shared" ca="1" si="2"/>
        <v>177.39812216676685</v>
      </c>
    </row>
    <row r="173" spans="1:1" x14ac:dyDescent="0.25">
      <c r="A173">
        <f t="shared" ca="1" si="2"/>
        <v>179.11339312095933</v>
      </c>
    </row>
    <row r="174" spans="1:1" x14ac:dyDescent="0.25">
      <c r="A174">
        <f t="shared" ca="1" si="2"/>
        <v>176.47210725535055</v>
      </c>
    </row>
    <row r="175" spans="1:1" x14ac:dyDescent="0.25">
      <c r="A175">
        <f t="shared" ca="1" si="2"/>
        <v>181.0762313206157</v>
      </c>
    </row>
    <row r="176" spans="1:1" x14ac:dyDescent="0.25">
      <c r="A176">
        <f t="shared" ca="1" si="2"/>
        <v>185.65890729095119</v>
      </c>
    </row>
    <row r="177" spans="1:1" x14ac:dyDescent="0.25">
      <c r="A177">
        <f t="shared" ca="1" si="2"/>
        <v>179.56285109373999</v>
      </c>
    </row>
    <row r="178" spans="1:1" x14ac:dyDescent="0.25">
      <c r="A178">
        <f t="shared" ca="1" si="2"/>
        <v>178.21236415217277</v>
      </c>
    </row>
    <row r="179" spans="1:1" x14ac:dyDescent="0.25">
      <c r="A179">
        <f t="shared" ca="1" si="2"/>
        <v>184.27697578863379</v>
      </c>
    </row>
    <row r="180" spans="1:1" x14ac:dyDescent="0.25">
      <c r="A180">
        <f t="shared" ca="1" si="2"/>
        <v>179.78074793443665</v>
      </c>
    </row>
    <row r="181" spans="1:1" x14ac:dyDescent="0.25">
      <c r="A181">
        <f t="shared" ca="1" si="2"/>
        <v>182.25589398718915</v>
      </c>
    </row>
    <row r="182" spans="1:1" x14ac:dyDescent="0.25">
      <c r="A182">
        <f t="shared" ca="1" si="2"/>
        <v>176.76351051621612</v>
      </c>
    </row>
    <row r="183" spans="1:1" x14ac:dyDescent="0.25">
      <c r="A183">
        <f t="shared" ca="1" si="2"/>
        <v>187.90960952789311</v>
      </c>
    </row>
    <row r="184" spans="1:1" x14ac:dyDescent="0.25">
      <c r="A184">
        <f t="shared" ca="1" si="2"/>
        <v>181.83689674537217</v>
      </c>
    </row>
    <row r="185" spans="1:1" x14ac:dyDescent="0.25">
      <c r="A185">
        <f t="shared" ca="1" si="2"/>
        <v>179.32218113210146</v>
      </c>
    </row>
    <row r="186" spans="1:1" x14ac:dyDescent="0.25">
      <c r="A186">
        <f t="shared" ca="1" si="2"/>
        <v>178.35251634203769</v>
      </c>
    </row>
    <row r="187" spans="1:1" x14ac:dyDescent="0.25">
      <c r="A187">
        <f t="shared" ca="1" si="2"/>
        <v>182.54959233985335</v>
      </c>
    </row>
    <row r="188" spans="1:1" x14ac:dyDescent="0.25">
      <c r="A188">
        <f t="shared" ca="1" si="2"/>
        <v>181.553187562169</v>
      </c>
    </row>
    <row r="189" spans="1:1" x14ac:dyDescent="0.25">
      <c r="A189">
        <f t="shared" ca="1" si="2"/>
        <v>177.71161824689909</v>
      </c>
    </row>
    <row r="190" spans="1:1" x14ac:dyDescent="0.25">
      <c r="A190">
        <f t="shared" ca="1" si="2"/>
        <v>166.98615891436413</v>
      </c>
    </row>
    <row r="191" spans="1:1" x14ac:dyDescent="0.25">
      <c r="A191">
        <f t="shared" ca="1" si="2"/>
        <v>180.0644840408165</v>
      </c>
    </row>
    <row r="192" spans="1:1" x14ac:dyDescent="0.25">
      <c r="A192">
        <f t="shared" ca="1" si="2"/>
        <v>175.15335070682474</v>
      </c>
    </row>
    <row r="193" spans="1:1" x14ac:dyDescent="0.25">
      <c r="A193">
        <f t="shared" ca="1" si="2"/>
        <v>179.93499574130803</v>
      </c>
    </row>
    <row r="194" spans="1:1" x14ac:dyDescent="0.25">
      <c r="A194">
        <f t="shared" ca="1" si="2"/>
        <v>192.42509467860708</v>
      </c>
    </row>
    <row r="195" spans="1:1" x14ac:dyDescent="0.25">
      <c r="A195">
        <f t="shared" ca="1" si="2"/>
        <v>182.76308455878123</v>
      </c>
    </row>
    <row r="196" spans="1:1" x14ac:dyDescent="0.25">
      <c r="A196">
        <f t="shared" ref="A196:A205" ca="1" si="3">NORMINV(RAND(),180,6)</f>
        <v>185.30451681423989</v>
      </c>
    </row>
    <row r="197" spans="1:1" x14ac:dyDescent="0.25">
      <c r="A197">
        <f t="shared" ca="1" si="3"/>
        <v>195.35822754847018</v>
      </c>
    </row>
    <row r="198" spans="1:1" x14ac:dyDescent="0.25">
      <c r="A198">
        <f t="shared" ca="1" si="3"/>
        <v>183.83013198995516</v>
      </c>
    </row>
    <row r="199" spans="1:1" x14ac:dyDescent="0.25">
      <c r="A199">
        <f t="shared" ca="1" si="3"/>
        <v>188.83470839989025</v>
      </c>
    </row>
    <row r="200" spans="1:1" x14ac:dyDescent="0.25">
      <c r="A200">
        <f t="shared" ca="1" si="3"/>
        <v>176.58920331384428</v>
      </c>
    </row>
    <row r="201" spans="1:1" x14ac:dyDescent="0.25">
      <c r="A201">
        <f t="shared" ca="1" si="3"/>
        <v>181.19642217593974</v>
      </c>
    </row>
    <row r="202" spans="1:1" x14ac:dyDescent="0.25">
      <c r="A202">
        <f t="shared" ca="1" si="3"/>
        <v>183.43624350229058</v>
      </c>
    </row>
    <row r="203" spans="1:1" x14ac:dyDescent="0.25">
      <c r="A203">
        <f t="shared" ca="1" si="3"/>
        <v>191.52042426568562</v>
      </c>
    </row>
    <row r="204" spans="1:1" x14ac:dyDescent="0.25">
      <c r="A204">
        <f t="shared" ca="1" si="3"/>
        <v>172.12619692174232</v>
      </c>
    </row>
    <row r="205" spans="1:1" x14ac:dyDescent="0.25">
      <c r="A205">
        <f t="shared" ca="1" si="3"/>
        <v>160.65356196313786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205"/>
  <sheetViews>
    <sheetView workbookViewId="0">
      <selection activeCell="O34" sqref="O34"/>
    </sheetView>
  </sheetViews>
  <sheetFormatPr defaultRowHeight="15" x14ac:dyDescent="0.25"/>
  <cols>
    <col min="2" max="2" width="2.7109375" customWidth="1"/>
  </cols>
  <sheetData>
    <row r="2" spans="1:4" x14ac:dyDescent="0.25">
      <c r="A2" t="s">
        <v>0</v>
      </c>
      <c r="C2" t="s">
        <v>1</v>
      </c>
      <c r="D2">
        <f ca="1">AVERAGE(A:A)</f>
        <v>180.03348482681361</v>
      </c>
    </row>
    <row r="3" spans="1:4" x14ac:dyDescent="0.25">
      <c r="A3">
        <f ca="1">NORMINV(RAND(),180,6)</f>
        <v>187.35998770553127</v>
      </c>
      <c r="C3" t="s">
        <v>5</v>
      </c>
      <c r="D3">
        <f ca="1">MEDIAN(A:A)</f>
        <v>180.18933712782083</v>
      </c>
    </row>
    <row r="4" spans="1:4" x14ac:dyDescent="0.25">
      <c r="A4">
        <f t="shared" ref="A4:A67" ca="1" si="0">NORMINV(RAND(),180,6)</f>
        <v>180.88214689800304</v>
      </c>
      <c r="C4" t="s">
        <v>6</v>
      </c>
      <c r="D4" t="e">
        <f ca="1">MODE(A:A)</f>
        <v>#N/A</v>
      </c>
    </row>
    <row r="5" spans="1:4" x14ac:dyDescent="0.25">
      <c r="A5">
        <f t="shared" ca="1" si="0"/>
        <v>177.86503750000682</v>
      </c>
      <c r="C5" t="s">
        <v>2</v>
      </c>
      <c r="D5">
        <f ca="1">STDEV(A:A)</f>
        <v>6.5057144493945458</v>
      </c>
    </row>
    <row r="6" spans="1:4" x14ac:dyDescent="0.25">
      <c r="A6">
        <f t="shared" ca="1" si="0"/>
        <v>180.17591961869473</v>
      </c>
      <c r="C6" t="s">
        <v>3</v>
      </c>
      <c r="D6">
        <f ca="1">A:A</f>
        <v>180.17591961869473</v>
      </c>
    </row>
    <row r="7" spans="1:4" x14ac:dyDescent="0.25">
      <c r="A7">
        <f t="shared" ca="1" si="0"/>
        <v>191.07555705956605</v>
      </c>
      <c r="C7" t="s">
        <v>4</v>
      </c>
      <c r="D7">
        <f ca="1">MIN(A:A)</f>
        <v>165.06490806522095</v>
      </c>
    </row>
    <row r="8" spans="1:4" x14ac:dyDescent="0.25">
      <c r="A8">
        <f t="shared" ca="1" si="0"/>
        <v>182.07881551650274</v>
      </c>
    </row>
    <row r="9" spans="1:4" x14ac:dyDescent="0.25">
      <c r="A9">
        <f t="shared" ca="1" si="0"/>
        <v>178.98314204212159</v>
      </c>
    </row>
    <row r="10" spans="1:4" x14ac:dyDescent="0.25">
      <c r="A10">
        <f t="shared" ca="1" si="0"/>
        <v>181.55241829602474</v>
      </c>
    </row>
    <row r="11" spans="1:4" x14ac:dyDescent="0.25">
      <c r="A11">
        <f t="shared" ca="1" si="0"/>
        <v>178.30868378197434</v>
      </c>
    </row>
    <row r="12" spans="1:4" x14ac:dyDescent="0.25">
      <c r="A12">
        <f t="shared" ca="1" si="0"/>
        <v>179.48456724625976</v>
      </c>
    </row>
    <row r="13" spans="1:4" x14ac:dyDescent="0.25">
      <c r="A13">
        <f t="shared" ca="1" si="0"/>
        <v>173.51298260767112</v>
      </c>
    </row>
    <row r="14" spans="1:4" x14ac:dyDescent="0.25">
      <c r="A14">
        <f t="shared" ca="1" si="0"/>
        <v>182.16590395766923</v>
      </c>
    </row>
    <row r="15" spans="1:4" x14ac:dyDescent="0.25">
      <c r="A15">
        <f t="shared" ca="1" si="0"/>
        <v>177.58616855428627</v>
      </c>
    </row>
    <row r="16" spans="1:4" x14ac:dyDescent="0.25">
      <c r="A16">
        <f t="shared" ca="1" si="0"/>
        <v>183.45036205506011</v>
      </c>
    </row>
    <row r="17" spans="1:1" x14ac:dyDescent="0.25">
      <c r="A17">
        <f t="shared" ca="1" si="0"/>
        <v>181.50399544390692</v>
      </c>
    </row>
    <row r="18" spans="1:1" x14ac:dyDescent="0.25">
      <c r="A18">
        <f t="shared" ca="1" si="0"/>
        <v>168.51441639639469</v>
      </c>
    </row>
    <row r="19" spans="1:1" x14ac:dyDescent="0.25">
      <c r="A19">
        <f t="shared" ca="1" si="0"/>
        <v>172.5728706234942</v>
      </c>
    </row>
    <row r="20" spans="1:1" x14ac:dyDescent="0.25">
      <c r="A20">
        <f t="shared" ca="1" si="0"/>
        <v>186.02166989638243</v>
      </c>
    </row>
    <row r="21" spans="1:1" x14ac:dyDescent="0.25">
      <c r="A21">
        <f t="shared" ca="1" si="0"/>
        <v>180.31565143914557</v>
      </c>
    </row>
    <row r="22" spans="1:1" x14ac:dyDescent="0.25">
      <c r="A22">
        <f t="shared" ca="1" si="0"/>
        <v>171.39616432887047</v>
      </c>
    </row>
    <row r="23" spans="1:1" x14ac:dyDescent="0.25">
      <c r="A23">
        <f t="shared" ca="1" si="0"/>
        <v>180.44770333942557</v>
      </c>
    </row>
    <row r="24" spans="1:1" x14ac:dyDescent="0.25">
      <c r="A24">
        <f t="shared" ca="1" si="0"/>
        <v>188.55678972590161</v>
      </c>
    </row>
    <row r="25" spans="1:1" x14ac:dyDescent="0.25">
      <c r="A25">
        <f t="shared" ca="1" si="0"/>
        <v>184.22326056281932</v>
      </c>
    </row>
    <row r="26" spans="1:1" x14ac:dyDescent="0.25">
      <c r="A26">
        <f t="shared" ca="1" si="0"/>
        <v>178.03429651163134</v>
      </c>
    </row>
    <row r="27" spans="1:1" x14ac:dyDescent="0.25">
      <c r="A27">
        <f t="shared" ca="1" si="0"/>
        <v>178.66485289702385</v>
      </c>
    </row>
    <row r="28" spans="1:1" x14ac:dyDescent="0.25">
      <c r="A28">
        <f t="shared" ca="1" si="0"/>
        <v>176.47947739158249</v>
      </c>
    </row>
    <row r="29" spans="1:1" x14ac:dyDescent="0.25">
      <c r="A29">
        <f t="shared" ca="1" si="0"/>
        <v>192.8948425202293</v>
      </c>
    </row>
    <row r="30" spans="1:1" x14ac:dyDescent="0.25">
      <c r="A30" s="1">
        <f ca="1">NORMINV(RAND(),210,6)</f>
        <v>210.50352969690027</v>
      </c>
    </row>
    <row r="31" spans="1:1" x14ac:dyDescent="0.25">
      <c r="A31">
        <f t="shared" ca="1" si="0"/>
        <v>180.18933712782083</v>
      </c>
    </row>
    <row r="32" spans="1:1" x14ac:dyDescent="0.25">
      <c r="A32">
        <f t="shared" ca="1" si="0"/>
        <v>190.60327340684091</v>
      </c>
    </row>
    <row r="33" spans="1:1" x14ac:dyDescent="0.25">
      <c r="A33">
        <f t="shared" ca="1" si="0"/>
        <v>187.93878971579545</v>
      </c>
    </row>
    <row r="34" spans="1:1" x14ac:dyDescent="0.25">
      <c r="A34">
        <f t="shared" ca="1" si="0"/>
        <v>179.59181152076167</v>
      </c>
    </row>
    <row r="35" spans="1:1" x14ac:dyDescent="0.25">
      <c r="A35">
        <f t="shared" ca="1" si="0"/>
        <v>186.10910553512534</v>
      </c>
    </row>
    <row r="36" spans="1:1" x14ac:dyDescent="0.25">
      <c r="A36">
        <f t="shared" ca="1" si="0"/>
        <v>169.80629708461976</v>
      </c>
    </row>
    <row r="37" spans="1:1" x14ac:dyDescent="0.25">
      <c r="A37">
        <f t="shared" ca="1" si="0"/>
        <v>174.12194111962648</v>
      </c>
    </row>
    <row r="38" spans="1:1" x14ac:dyDescent="0.25">
      <c r="A38">
        <f t="shared" ca="1" si="0"/>
        <v>195.55610220189112</v>
      </c>
    </row>
    <row r="39" spans="1:1" x14ac:dyDescent="0.25">
      <c r="A39">
        <f t="shared" ca="1" si="0"/>
        <v>177.91269750795098</v>
      </c>
    </row>
    <row r="40" spans="1:1" x14ac:dyDescent="0.25">
      <c r="A40">
        <f t="shared" ca="1" si="0"/>
        <v>178.43964639260832</v>
      </c>
    </row>
    <row r="41" spans="1:1" x14ac:dyDescent="0.25">
      <c r="A41">
        <f t="shared" ca="1" si="0"/>
        <v>171.4422417250959</v>
      </c>
    </row>
    <row r="42" spans="1:1" x14ac:dyDescent="0.25">
      <c r="A42">
        <f t="shared" ca="1" si="0"/>
        <v>165.06490806522095</v>
      </c>
    </row>
    <row r="43" spans="1:1" x14ac:dyDescent="0.25">
      <c r="A43">
        <f t="shared" ca="1" si="0"/>
        <v>179.35523775032541</v>
      </c>
    </row>
    <row r="44" spans="1:1" x14ac:dyDescent="0.25">
      <c r="A44">
        <f t="shared" ca="1" si="0"/>
        <v>175.52279149086155</v>
      </c>
    </row>
    <row r="45" spans="1:1" x14ac:dyDescent="0.25">
      <c r="A45">
        <f t="shared" ca="1" si="0"/>
        <v>190.64372284581523</v>
      </c>
    </row>
    <row r="46" spans="1:1" x14ac:dyDescent="0.25">
      <c r="A46">
        <f t="shared" ca="1" si="0"/>
        <v>172.12927845619927</v>
      </c>
    </row>
    <row r="47" spans="1:1" x14ac:dyDescent="0.25">
      <c r="A47">
        <f t="shared" ca="1" si="0"/>
        <v>186.58930538615675</v>
      </c>
    </row>
    <row r="48" spans="1:1" x14ac:dyDescent="0.25">
      <c r="A48">
        <f t="shared" ca="1" si="0"/>
        <v>175.76737849670866</v>
      </c>
    </row>
    <row r="49" spans="1:1" x14ac:dyDescent="0.25">
      <c r="A49">
        <f t="shared" ca="1" si="0"/>
        <v>178.94924081808406</v>
      </c>
    </row>
    <row r="50" spans="1:1" x14ac:dyDescent="0.25">
      <c r="A50">
        <f t="shared" ca="1" si="0"/>
        <v>182.12281622700837</v>
      </c>
    </row>
    <row r="51" spans="1:1" x14ac:dyDescent="0.25">
      <c r="A51">
        <f t="shared" ca="1" si="0"/>
        <v>177.60928410865654</v>
      </c>
    </row>
    <row r="52" spans="1:1" x14ac:dyDescent="0.25">
      <c r="A52">
        <f t="shared" ca="1" si="0"/>
        <v>174.43755300931477</v>
      </c>
    </row>
    <row r="53" spans="1:1" x14ac:dyDescent="0.25">
      <c r="A53">
        <f t="shared" ca="1" si="0"/>
        <v>173.32303336370001</v>
      </c>
    </row>
    <row r="54" spans="1:1" x14ac:dyDescent="0.25">
      <c r="A54">
        <f t="shared" ca="1" si="0"/>
        <v>174.51907621154223</v>
      </c>
    </row>
    <row r="55" spans="1:1" x14ac:dyDescent="0.25">
      <c r="A55">
        <f t="shared" ca="1" si="0"/>
        <v>180.37735722248325</v>
      </c>
    </row>
    <row r="56" spans="1:1" x14ac:dyDescent="0.25">
      <c r="A56">
        <f t="shared" ca="1" si="0"/>
        <v>183.56161734288474</v>
      </c>
    </row>
    <row r="57" spans="1:1" x14ac:dyDescent="0.25">
      <c r="A57">
        <f t="shared" ca="1" si="0"/>
        <v>185.03565329551151</v>
      </c>
    </row>
    <row r="58" spans="1:1" x14ac:dyDescent="0.25">
      <c r="A58">
        <f t="shared" ca="1" si="0"/>
        <v>173.00138628891327</v>
      </c>
    </row>
    <row r="59" spans="1:1" x14ac:dyDescent="0.25">
      <c r="A59">
        <f t="shared" ca="1" si="0"/>
        <v>182.15561699452053</v>
      </c>
    </row>
    <row r="60" spans="1:1" x14ac:dyDescent="0.25">
      <c r="A60">
        <f t="shared" ca="1" si="0"/>
        <v>183.92951589458363</v>
      </c>
    </row>
    <row r="61" spans="1:1" x14ac:dyDescent="0.25">
      <c r="A61">
        <f t="shared" ca="1" si="0"/>
        <v>180.36513246393415</v>
      </c>
    </row>
    <row r="62" spans="1:1" x14ac:dyDescent="0.25">
      <c r="A62">
        <f t="shared" ca="1" si="0"/>
        <v>173.97535015829891</v>
      </c>
    </row>
    <row r="63" spans="1:1" x14ac:dyDescent="0.25">
      <c r="A63">
        <f t="shared" ca="1" si="0"/>
        <v>190.75192327401589</v>
      </c>
    </row>
    <row r="64" spans="1:1" x14ac:dyDescent="0.25">
      <c r="A64">
        <f t="shared" ca="1" si="0"/>
        <v>183.78360826655134</v>
      </c>
    </row>
    <row r="65" spans="1:1" x14ac:dyDescent="0.25">
      <c r="A65">
        <f t="shared" ca="1" si="0"/>
        <v>186.66884157957014</v>
      </c>
    </row>
    <row r="66" spans="1:1" x14ac:dyDescent="0.25">
      <c r="A66">
        <f t="shared" ca="1" si="0"/>
        <v>170.60927079832152</v>
      </c>
    </row>
    <row r="67" spans="1:1" x14ac:dyDescent="0.25">
      <c r="A67">
        <f t="shared" ca="1" si="0"/>
        <v>167.56545206129871</v>
      </c>
    </row>
    <row r="68" spans="1:1" x14ac:dyDescent="0.25">
      <c r="A68">
        <f t="shared" ref="A68:A131" ca="1" si="1">NORMINV(RAND(),180,6)</f>
        <v>182.18574707275189</v>
      </c>
    </row>
    <row r="69" spans="1:1" x14ac:dyDescent="0.25">
      <c r="A69">
        <f t="shared" ca="1" si="1"/>
        <v>180.47682394988334</v>
      </c>
    </row>
    <row r="70" spans="1:1" x14ac:dyDescent="0.25">
      <c r="A70">
        <f t="shared" ca="1" si="1"/>
        <v>176.34509639029824</v>
      </c>
    </row>
    <row r="71" spans="1:1" x14ac:dyDescent="0.25">
      <c r="A71">
        <f t="shared" ca="1" si="1"/>
        <v>166.04376298348026</v>
      </c>
    </row>
    <row r="72" spans="1:1" x14ac:dyDescent="0.25">
      <c r="A72">
        <f t="shared" ca="1" si="1"/>
        <v>180.65907173079802</v>
      </c>
    </row>
    <row r="73" spans="1:1" x14ac:dyDescent="0.25">
      <c r="A73">
        <f t="shared" ca="1" si="1"/>
        <v>166.78048975452094</v>
      </c>
    </row>
    <row r="74" spans="1:1" x14ac:dyDescent="0.25">
      <c r="A74">
        <f t="shared" ca="1" si="1"/>
        <v>178.80746940309112</v>
      </c>
    </row>
    <row r="75" spans="1:1" x14ac:dyDescent="0.25">
      <c r="A75">
        <f t="shared" ca="1" si="1"/>
        <v>176.88737007793185</v>
      </c>
    </row>
    <row r="76" spans="1:1" x14ac:dyDescent="0.25">
      <c r="A76">
        <f t="shared" ca="1" si="1"/>
        <v>169.78387419921873</v>
      </c>
    </row>
    <row r="77" spans="1:1" x14ac:dyDescent="0.25">
      <c r="A77">
        <f t="shared" ca="1" si="1"/>
        <v>169.49179025089651</v>
      </c>
    </row>
    <row r="78" spans="1:1" x14ac:dyDescent="0.25">
      <c r="A78">
        <f t="shared" ca="1" si="1"/>
        <v>180.29662143687389</v>
      </c>
    </row>
    <row r="79" spans="1:1" x14ac:dyDescent="0.25">
      <c r="A79">
        <f t="shared" ca="1" si="1"/>
        <v>186.97074365885334</v>
      </c>
    </row>
    <row r="80" spans="1:1" x14ac:dyDescent="0.25">
      <c r="A80">
        <f t="shared" ca="1" si="1"/>
        <v>180.1963612155057</v>
      </c>
    </row>
    <row r="81" spans="1:1" x14ac:dyDescent="0.25">
      <c r="A81">
        <f t="shared" ca="1" si="1"/>
        <v>179.2954717216266</v>
      </c>
    </row>
    <row r="82" spans="1:1" x14ac:dyDescent="0.25">
      <c r="A82">
        <f t="shared" ca="1" si="1"/>
        <v>185.14408905965087</v>
      </c>
    </row>
    <row r="83" spans="1:1" x14ac:dyDescent="0.25">
      <c r="A83">
        <f t="shared" ca="1" si="1"/>
        <v>175.37952329515196</v>
      </c>
    </row>
    <row r="84" spans="1:1" x14ac:dyDescent="0.25">
      <c r="A84">
        <f t="shared" ca="1" si="1"/>
        <v>183.71003228422961</v>
      </c>
    </row>
    <row r="85" spans="1:1" x14ac:dyDescent="0.25">
      <c r="A85">
        <f t="shared" ca="1" si="1"/>
        <v>177.54253314831334</v>
      </c>
    </row>
    <row r="86" spans="1:1" x14ac:dyDescent="0.25">
      <c r="A86">
        <f t="shared" ca="1" si="1"/>
        <v>176.20022787242883</v>
      </c>
    </row>
    <row r="87" spans="1:1" x14ac:dyDescent="0.25">
      <c r="A87">
        <f t="shared" ca="1" si="1"/>
        <v>180.19138582435261</v>
      </c>
    </row>
    <row r="88" spans="1:1" x14ac:dyDescent="0.25">
      <c r="A88">
        <f t="shared" ca="1" si="1"/>
        <v>173.65849600015201</v>
      </c>
    </row>
    <row r="89" spans="1:1" x14ac:dyDescent="0.25">
      <c r="A89">
        <f t="shared" ca="1" si="1"/>
        <v>171.20449140177013</v>
      </c>
    </row>
    <row r="90" spans="1:1" x14ac:dyDescent="0.25">
      <c r="A90">
        <f t="shared" ca="1" si="1"/>
        <v>182.9551041543514</v>
      </c>
    </row>
    <row r="91" spans="1:1" x14ac:dyDescent="0.25">
      <c r="A91">
        <f t="shared" ca="1" si="1"/>
        <v>173.61094517198401</v>
      </c>
    </row>
    <row r="92" spans="1:1" x14ac:dyDescent="0.25">
      <c r="A92">
        <f t="shared" ca="1" si="1"/>
        <v>183.0395884599493</v>
      </c>
    </row>
    <row r="93" spans="1:1" x14ac:dyDescent="0.25">
      <c r="A93">
        <f t="shared" ca="1" si="1"/>
        <v>179.38094433104601</v>
      </c>
    </row>
    <row r="94" spans="1:1" x14ac:dyDescent="0.25">
      <c r="A94">
        <f t="shared" ca="1" si="1"/>
        <v>175.62488389252044</v>
      </c>
    </row>
    <row r="95" spans="1:1" x14ac:dyDescent="0.25">
      <c r="A95">
        <f t="shared" ca="1" si="1"/>
        <v>180.71455037782167</v>
      </c>
    </row>
    <row r="96" spans="1:1" x14ac:dyDescent="0.25">
      <c r="A96">
        <f t="shared" ca="1" si="1"/>
        <v>175.49105053859071</v>
      </c>
    </row>
    <row r="97" spans="1:1" x14ac:dyDescent="0.25">
      <c r="A97">
        <f t="shared" ca="1" si="1"/>
        <v>183.40095144628546</v>
      </c>
    </row>
    <row r="98" spans="1:1" x14ac:dyDescent="0.25">
      <c r="A98">
        <f t="shared" ca="1" si="1"/>
        <v>188.43629784133731</v>
      </c>
    </row>
    <row r="99" spans="1:1" x14ac:dyDescent="0.25">
      <c r="A99">
        <f t="shared" ca="1" si="1"/>
        <v>171.97782386464206</v>
      </c>
    </row>
    <row r="100" spans="1:1" x14ac:dyDescent="0.25">
      <c r="A100">
        <f t="shared" ca="1" si="1"/>
        <v>180.53266361356052</v>
      </c>
    </row>
    <row r="101" spans="1:1" x14ac:dyDescent="0.25">
      <c r="A101">
        <f t="shared" ca="1" si="1"/>
        <v>189.16520229086183</v>
      </c>
    </row>
    <row r="102" spans="1:1" x14ac:dyDescent="0.25">
      <c r="A102">
        <f t="shared" ca="1" si="1"/>
        <v>184.70946071931124</v>
      </c>
    </row>
    <row r="103" spans="1:1" x14ac:dyDescent="0.25">
      <c r="A103">
        <f t="shared" ca="1" si="1"/>
        <v>182.95452074459584</v>
      </c>
    </row>
    <row r="104" spans="1:1" x14ac:dyDescent="0.25">
      <c r="A104">
        <f t="shared" ca="1" si="1"/>
        <v>187.68737452899009</v>
      </c>
    </row>
    <row r="105" spans="1:1" x14ac:dyDescent="0.25">
      <c r="A105">
        <f t="shared" ca="1" si="1"/>
        <v>191.08200939955805</v>
      </c>
    </row>
    <row r="106" spans="1:1" x14ac:dyDescent="0.25">
      <c r="A106">
        <f t="shared" ca="1" si="1"/>
        <v>179.93597378109936</v>
      </c>
    </row>
    <row r="107" spans="1:1" x14ac:dyDescent="0.25">
      <c r="A107">
        <f t="shared" ca="1" si="1"/>
        <v>185.49033775077569</v>
      </c>
    </row>
    <row r="108" spans="1:1" x14ac:dyDescent="0.25">
      <c r="A108">
        <f t="shared" ca="1" si="1"/>
        <v>181.49783846500242</v>
      </c>
    </row>
    <row r="109" spans="1:1" x14ac:dyDescent="0.25">
      <c r="A109">
        <f t="shared" ca="1" si="1"/>
        <v>189.18355926351165</v>
      </c>
    </row>
    <row r="110" spans="1:1" x14ac:dyDescent="0.25">
      <c r="A110">
        <f t="shared" ca="1" si="1"/>
        <v>165.71663688788223</v>
      </c>
    </row>
    <row r="111" spans="1:1" x14ac:dyDescent="0.25">
      <c r="A111">
        <f t="shared" ca="1" si="1"/>
        <v>168.3893070552958</v>
      </c>
    </row>
    <row r="112" spans="1:1" x14ac:dyDescent="0.25">
      <c r="A112">
        <f t="shared" ca="1" si="1"/>
        <v>176.70195656718323</v>
      </c>
    </row>
    <row r="113" spans="1:1" x14ac:dyDescent="0.25">
      <c r="A113">
        <f t="shared" ca="1" si="1"/>
        <v>177.57013219187724</v>
      </c>
    </row>
    <row r="114" spans="1:1" x14ac:dyDescent="0.25">
      <c r="A114">
        <f t="shared" ca="1" si="1"/>
        <v>166.14966196094835</v>
      </c>
    </row>
    <row r="115" spans="1:1" x14ac:dyDescent="0.25">
      <c r="A115">
        <f t="shared" ca="1" si="1"/>
        <v>191.17939152281218</v>
      </c>
    </row>
    <row r="116" spans="1:1" x14ac:dyDescent="0.25">
      <c r="A116">
        <f t="shared" ca="1" si="1"/>
        <v>179.49382789475644</v>
      </c>
    </row>
    <row r="117" spans="1:1" x14ac:dyDescent="0.25">
      <c r="A117">
        <f t="shared" ca="1" si="1"/>
        <v>172.06807482133209</v>
      </c>
    </row>
    <row r="118" spans="1:1" x14ac:dyDescent="0.25">
      <c r="A118">
        <f t="shared" ca="1" si="1"/>
        <v>182.2557475316797</v>
      </c>
    </row>
    <row r="119" spans="1:1" x14ac:dyDescent="0.25">
      <c r="A119">
        <f t="shared" ca="1" si="1"/>
        <v>181.59227422620577</v>
      </c>
    </row>
    <row r="120" spans="1:1" x14ac:dyDescent="0.25">
      <c r="A120">
        <f t="shared" ca="1" si="1"/>
        <v>172.55050766836482</v>
      </c>
    </row>
    <row r="121" spans="1:1" x14ac:dyDescent="0.25">
      <c r="A121">
        <f t="shared" ca="1" si="1"/>
        <v>186.90392493180687</v>
      </c>
    </row>
    <row r="122" spans="1:1" x14ac:dyDescent="0.25">
      <c r="A122">
        <f t="shared" ca="1" si="1"/>
        <v>175.0319179343675</v>
      </c>
    </row>
    <row r="123" spans="1:1" x14ac:dyDescent="0.25">
      <c r="A123">
        <f t="shared" ca="1" si="1"/>
        <v>186.40559767646513</v>
      </c>
    </row>
    <row r="124" spans="1:1" x14ac:dyDescent="0.25">
      <c r="A124">
        <f t="shared" ca="1" si="1"/>
        <v>178.70027695736096</v>
      </c>
    </row>
    <row r="125" spans="1:1" x14ac:dyDescent="0.25">
      <c r="A125">
        <f t="shared" ca="1" si="1"/>
        <v>184.46370242911749</v>
      </c>
    </row>
    <row r="126" spans="1:1" x14ac:dyDescent="0.25">
      <c r="A126">
        <f t="shared" ca="1" si="1"/>
        <v>176.33842370318916</v>
      </c>
    </row>
    <row r="127" spans="1:1" x14ac:dyDescent="0.25">
      <c r="A127">
        <f t="shared" ca="1" si="1"/>
        <v>183.04550451296075</v>
      </c>
    </row>
    <row r="128" spans="1:1" x14ac:dyDescent="0.25">
      <c r="A128">
        <f t="shared" ca="1" si="1"/>
        <v>187.45430998191631</v>
      </c>
    </row>
    <row r="129" spans="1:1" x14ac:dyDescent="0.25">
      <c r="A129">
        <f t="shared" ca="1" si="1"/>
        <v>188.31552528440261</v>
      </c>
    </row>
    <row r="130" spans="1:1" x14ac:dyDescent="0.25">
      <c r="A130">
        <f t="shared" ca="1" si="1"/>
        <v>178.6797817869024</v>
      </c>
    </row>
    <row r="131" spans="1:1" x14ac:dyDescent="0.25">
      <c r="A131">
        <f t="shared" ca="1" si="1"/>
        <v>179.7107191128886</v>
      </c>
    </row>
    <row r="132" spans="1:1" x14ac:dyDescent="0.25">
      <c r="A132">
        <f t="shared" ref="A132:A195" ca="1" si="2">NORMINV(RAND(),180,6)</f>
        <v>183.91375153615303</v>
      </c>
    </row>
    <row r="133" spans="1:1" x14ac:dyDescent="0.25">
      <c r="A133">
        <f t="shared" ca="1" si="2"/>
        <v>185.74785991202822</v>
      </c>
    </row>
    <row r="134" spans="1:1" x14ac:dyDescent="0.25">
      <c r="A134">
        <f t="shared" ca="1" si="2"/>
        <v>187.99213497549675</v>
      </c>
    </row>
    <row r="135" spans="1:1" x14ac:dyDescent="0.25">
      <c r="A135">
        <f t="shared" ca="1" si="2"/>
        <v>173.73704780080243</v>
      </c>
    </row>
    <row r="136" spans="1:1" x14ac:dyDescent="0.25">
      <c r="A136">
        <f t="shared" ca="1" si="2"/>
        <v>177.34355664610484</v>
      </c>
    </row>
    <row r="137" spans="1:1" x14ac:dyDescent="0.25">
      <c r="A137">
        <f t="shared" ca="1" si="2"/>
        <v>182.34908136796372</v>
      </c>
    </row>
    <row r="138" spans="1:1" x14ac:dyDescent="0.25">
      <c r="A138">
        <f t="shared" ca="1" si="2"/>
        <v>180.90281633840678</v>
      </c>
    </row>
    <row r="139" spans="1:1" x14ac:dyDescent="0.25">
      <c r="A139">
        <f t="shared" ca="1" si="2"/>
        <v>181.62882416762778</v>
      </c>
    </row>
    <row r="140" spans="1:1" x14ac:dyDescent="0.25">
      <c r="A140">
        <f t="shared" ca="1" si="2"/>
        <v>175.5895201115961</v>
      </c>
    </row>
    <row r="141" spans="1:1" x14ac:dyDescent="0.25">
      <c r="A141">
        <f t="shared" ca="1" si="2"/>
        <v>172.96443802723587</v>
      </c>
    </row>
    <row r="142" spans="1:1" x14ac:dyDescent="0.25">
      <c r="A142">
        <f t="shared" ca="1" si="2"/>
        <v>183.95674083658349</v>
      </c>
    </row>
    <row r="143" spans="1:1" x14ac:dyDescent="0.25">
      <c r="A143">
        <f t="shared" ca="1" si="2"/>
        <v>183.29460452800782</v>
      </c>
    </row>
    <row r="144" spans="1:1" x14ac:dyDescent="0.25">
      <c r="A144">
        <f t="shared" ca="1" si="2"/>
        <v>180.37542556250111</v>
      </c>
    </row>
    <row r="145" spans="1:1" x14ac:dyDescent="0.25">
      <c r="A145">
        <f t="shared" ca="1" si="2"/>
        <v>183.02001191069945</v>
      </c>
    </row>
    <row r="146" spans="1:1" x14ac:dyDescent="0.25">
      <c r="A146">
        <f t="shared" ca="1" si="2"/>
        <v>196.31569896800954</v>
      </c>
    </row>
    <row r="147" spans="1:1" x14ac:dyDescent="0.25">
      <c r="A147">
        <f t="shared" ca="1" si="2"/>
        <v>175.75630447607324</v>
      </c>
    </row>
    <row r="148" spans="1:1" x14ac:dyDescent="0.25">
      <c r="A148">
        <f t="shared" ca="1" si="2"/>
        <v>181.43278293223872</v>
      </c>
    </row>
    <row r="149" spans="1:1" x14ac:dyDescent="0.25">
      <c r="A149">
        <f t="shared" ca="1" si="2"/>
        <v>180.22056701927724</v>
      </c>
    </row>
    <row r="150" spans="1:1" x14ac:dyDescent="0.25">
      <c r="A150">
        <f t="shared" ca="1" si="2"/>
        <v>178.63295428536017</v>
      </c>
    </row>
    <row r="151" spans="1:1" x14ac:dyDescent="0.25">
      <c r="A151">
        <f t="shared" ca="1" si="2"/>
        <v>188.24363479448149</v>
      </c>
    </row>
    <row r="152" spans="1:1" x14ac:dyDescent="0.25">
      <c r="A152">
        <f t="shared" ca="1" si="2"/>
        <v>177.30702982505733</v>
      </c>
    </row>
    <row r="153" spans="1:1" x14ac:dyDescent="0.25">
      <c r="A153">
        <f t="shared" ca="1" si="2"/>
        <v>178.77211445188672</v>
      </c>
    </row>
    <row r="154" spans="1:1" x14ac:dyDescent="0.25">
      <c r="A154">
        <f t="shared" ca="1" si="2"/>
        <v>176.76723583651543</v>
      </c>
    </row>
    <row r="155" spans="1:1" x14ac:dyDescent="0.25">
      <c r="A155">
        <f t="shared" ca="1" si="2"/>
        <v>178.89143529080707</v>
      </c>
    </row>
    <row r="156" spans="1:1" x14ac:dyDescent="0.25">
      <c r="A156">
        <f t="shared" ca="1" si="2"/>
        <v>170.87409873986002</v>
      </c>
    </row>
    <row r="157" spans="1:1" x14ac:dyDescent="0.25">
      <c r="A157">
        <f t="shared" ca="1" si="2"/>
        <v>175.15982301232967</v>
      </c>
    </row>
    <row r="158" spans="1:1" x14ac:dyDescent="0.25">
      <c r="A158">
        <f t="shared" ca="1" si="2"/>
        <v>180.7452538590745</v>
      </c>
    </row>
    <row r="159" spans="1:1" x14ac:dyDescent="0.25">
      <c r="A159">
        <f t="shared" ca="1" si="2"/>
        <v>182.95925912766924</v>
      </c>
    </row>
    <row r="160" spans="1:1" x14ac:dyDescent="0.25">
      <c r="A160">
        <f t="shared" ca="1" si="2"/>
        <v>189.25671882317965</v>
      </c>
    </row>
    <row r="161" spans="1:1" x14ac:dyDescent="0.25">
      <c r="A161">
        <f t="shared" ca="1" si="2"/>
        <v>193.13544808467884</v>
      </c>
    </row>
    <row r="162" spans="1:1" x14ac:dyDescent="0.25">
      <c r="A162">
        <f t="shared" ca="1" si="2"/>
        <v>187.02410643459061</v>
      </c>
    </row>
    <row r="163" spans="1:1" x14ac:dyDescent="0.25">
      <c r="A163">
        <f t="shared" ca="1" si="2"/>
        <v>175.51942154985002</v>
      </c>
    </row>
    <row r="164" spans="1:1" x14ac:dyDescent="0.25">
      <c r="A164">
        <f t="shared" ca="1" si="2"/>
        <v>183.07759338215317</v>
      </c>
    </row>
    <row r="165" spans="1:1" x14ac:dyDescent="0.25">
      <c r="A165">
        <f t="shared" ca="1" si="2"/>
        <v>184.08799412607308</v>
      </c>
    </row>
    <row r="166" spans="1:1" x14ac:dyDescent="0.25">
      <c r="A166">
        <f t="shared" ca="1" si="2"/>
        <v>175.54265031465417</v>
      </c>
    </row>
    <row r="167" spans="1:1" x14ac:dyDescent="0.25">
      <c r="A167">
        <f t="shared" ca="1" si="2"/>
        <v>169.53586135556338</v>
      </c>
    </row>
    <row r="168" spans="1:1" x14ac:dyDescent="0.25">
      <c r="A168">
        <f t="shared" ca="1" si="2"/>
        <v>177.59222828681371</v>
      </c>
    </row>
    <row r="169" spans="1:1" x14ac:dyDescent="0.25">
      <c r="A169">
        <f t="shared" ca="1" si="2"/>
        <v>184.24744435006514</v>
      </c>
    </row>
    <row r="170" spans="1:1" x14ac:dyDescent="0.25">
      <c r="A170">
        <f t="shared" ca="1" si="2"/>
        <v>179.20768325918684</v>
      </c>
    </row>
    <row r="171" spans="1:1" x14ac:dyDescent="0.25">
      <c r="A171">
        <f t="shared" ca="1" si="2"/>
        <v>175.49088798193856</v>
      </c>
    </row>
    <row r="172" spans="1:1" x14ac:dyDescent="0.25">
      <c r="A172">
        <f t="shared" ca="1" si="2"/>
        <v>174.93453387275082</v>
      </c>
    </row>
    <row r="173" spans="1:1" x14ac:dyDescent="0.25">
      <c r="A173">
        <f t="shared" ca="1" si="2"/>
        <v>191.36470761540019</v>
      </c>
    </row>
    <row r="174" spans="1:1" x14ac:dyDescent="0.25">
      <c r="A174">
        <f t="shared" ca="1" si="2"/>
        <v>179.5621766490014</v>
      </c>
    </row>
    <row r="175" spans="1:1" x14ac:dyDescent="0.25">
      <c r="A175">
        <f t="shared" ca="1" si="2"/>
        <v>186.76522940579471</v>
      </c>
    </row>
    <row r="176" spans="1:1" x14ac:dyDescent="0.25">
      <c r="A176">
        <f t="shared" ca="1" si="2"/>
        <v>181.75525271832183</v>
      </c>
    </row>
    <row r="177" spans="1:1" x14ac:dyDescent="0.25">
      <c r="A177">
        <f t="shared" ca="1" si="2"/>
        <v>180.7452281692191</v>
      </c>
    </row>
    <row r="178" spans="1:1" x14ac:dyDescent="0.25">
      <c r="A178">
        <f t="shared" ca="1" si="2"/>
        <v>173.81498064956239</v>
      </c>
    </row>
    <row r="179" spans="1:1" x14ac:dyDescent="0.25">
      <c r="A179">
        <f t="shared" ca="1" si="2"/>
        <v>169.78881635495586</v>
      </c>
    </row>
    <row r="180" spans="1:1" x14ac:dyDescent="0.25">
      <c r="A180">
        <f t="shared" ca="1" si="2"/>
        <v>178.26260929089818</v>
      </c>
    </row>
    <row r="181" spans="1:1" x14ac:dyDescent="0.25">
      <c r="A181">
        <f t="shared" ca="1" si="2"/>
        <v>182.96862072571577</v>
      </c>
    </row>
    <row r="182" spans="1:1" x14ac:dyDescent="0.25">
      <c r="A182">
        <f t="shared" ca="1" si="2"/>
        <v>187.51572334121133</v>
      </c>
    </row>
    <row r="183" spans="1:1" x14ac:dyDescent="0.25">
      <c r="A183">
        <f t="shared" ca="1" si="2"/>
        <v>179.68774023271774</v>
      </c>
    </row>
    <row r="184" spans="1:1" x14ac:dyDescent="0.25">
      <c r="A184">
        <f t="shared" ca="1" si="2"/>
        <v>172.5585026873396</v>
      </c>
    </row>
    <row r="185" spans="1:1" x14ac:dyDescent="0.25">
      <c r="A185">
        <f t="shared" ca="1" si="2"/>
        <v>177.53187456245206</v>
      </c>
    </row>
    <row r="186" spans="1:1" x14ac:dyDescent="0.25">
      <c r="A186">
        <f t="shared" ca="1" si="2"/>
        <v>182.08772676635945</v>
      </c>
    </row>
    <row r="187" spans="1:1" x14ac:dyDescent="0.25">
      <c r="A187">
        <f t="shared" ca="1" si="2"/>
        <v>180.23433303216416</v>
      </c>
    </row>
    <row r="188" spans="1:1" x14ac:dyDescent="0.25">
      <c r="A188">
        <f t="shared" ca="1" si="2"/>
        <v>176.8117721860344</v>
      </c>
    </row>
    <row r="189" spans="1:1" x14ac:dyDescent="0.25">
      <c r="A189">
        <f t="shared" ca="1" si="2"/>
        <v>187.36884932108867</v>
      </c>
    </row>
    <row r="190" spans="1:1" x14ac:dyDescent="0.25">
      <c r="A190">
        <f t="shared" ca="1" si="2"/>
        <v>178.11037904679119</v>
      </c>
    </row>
    <row r="191" spans="1:1" x14ac:dyDescent="0.25">
      <c r="A191">
        <f t="shared" ca="1" si="2"/>
        <v>166.85027803104475</v>
      </c>
    </row>
    <row r="192" spans="1:1" x14ac:dyDescent="0.25">
      <c r="A192">
        <f t="shared" ca="1" si="2"/>
        <v>173.46876893561836</v>
      </c>
    </row>
    <row r="193" spans="1:1" x14ac:dyDescent="0.25">
      <c r="A193">
        <f t="shared" ca="1" si="2"/>
        <v>175.10888511739131</v>
      </c>
    </row>
    <row r="194" spans="1:1" x14ac:dyDescent="0.25">
      <c r="A194">
        <f t="shared" ca="1" si="2"/>
        <v>181.78293748080065</v>
      </c>
    </row>
    <row r="195" spans="1:1" x14ac:dyDescent="0.25">
      <c r="A195">
        <f t="shared" ca="1" si="2"/>
        <v>183.38759140805104</v>
      </c>
    </row>
    <row r="196" spans="1:1" x14ac:dyDescent="0.25">
      <c r="A196">
        <f t="shared" ref="A196:A205" ca="1" si="3">NORMINV(RAND(),180,6)</f>
        <v>174.16268128193295</v>
      </c>
    </row>
    <row r="197" spans="1:1" x14ac:dyDescent="0.25">
      <c r="A197">
        <f t="shared" ca="1" si="3"/>
        <v>185.67968202352455</v>
      </c>
    </row>
    <row r="198" spans="1:1" x14ac:dyDescent="0.25">
      <c r="A198">
        <f t="shared" ca="1" si="3"/>
        <v>187.69867457364606</v>
      </c>
    </row>
    <row r="199" spans="1:1" x14ac:dyDescent="0.25">
      <c r="A199">
        <f t="shared" ca="1" si="3"/>
        <v>184.73663128206564</v>
      </c>
    </row>
    <row r="200" spans="1:1" x14ac:dyDescent="0.25">
      <c r="A200">
        <f t="shared" ca="1" si="3"/>
        <v>181.75704061387825</v>
      </c>
    </row>
    <row r="201" spans="1:1" x14ac:dyDescent="0.25">
      <c r="A201">
        <f t="shared" ca="1" si="3"/>
        <v>178.87779310276716</v>
      </c>
    </row>
    <row r="202" spans="1:1" x14ac:dyDescent="0.25">
      <c r="A202">
        <f t="shared" ca="1" si="3"/>
        <v>176.59237214428634</v>
      </c>
    </row>
    <row r="203" spans="1:1" x14ac:dyDescent="0.25">
      <c r="A203">
        <f t="shared" ca="1" si="3"/>
        <v>177.77690462188366</v>
      </c>
    </row>
    <row r="204" spans="1:1" x14ac:dyDescent="0.25">
      <c r="A204">
        <f t="shared" ca="1" si="3"/>
        <v>187.16078834445105</v>
      </c>
    </row>
    <row r="205" spans="1:1" x14ac:dyDescent="0.25">
      <c r="A205">
        <f t="shared" ca="1" si="3"/>
        <v>174.29872513646552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D205"/>
  <sheetViews>
    <sheetView workbookViewId="0">
      <selection activeCell="J34" sqref="J34"/>
    </sheetView>
  </sheetViews>
  <sheetFormatPr defaultRowHeight="15" x14ac:dyDescent="0.25"/>
  <cols>
    <col min="2" max="2" width="2.7109375" customWidth="1"/>
  </cols>
  <sheetData>
    <row r="2" spans="1:4" x14ac:dyDescent="0.25">
      <c r="A2" t="s">
        <v>0</v>
      </c>
      <c r="C2" t="s">
        <v>1</v>
      </c>
      <c r="D2">
        <f ca="1">AVERAGE(A:A)</f>
        <v>181.08208999576743</v>
      </c>
    </row>
    <row r="3" spans="1:4" x14ac:dyDescent="0.25">
      <c r="A3">
        <f ca="1">NORMINV(RAND(),180,6)</f>
        <v>187.93952510063531</v>
      </c>
      <c r="C3" t="s">
        <v>5</v>
      </c>
      <c r="D3">
        <f ca="1">MEDIAN(A:A)</f>
        <v>179.84349268561698</v>
      </c>
    </row>
    <row r="4" spans="1:4" x14ac:dyDescent="0.25">
      <c r="A4">
        <f t="shared" ref="A4:A67" ca="1" si="0">NORMINV(RAND(),180,6)</f>
        <v>173.69805589615837</v>
      </c>
      <c r="C4" t="s">
        <v>6</v>
      </c>
      <c r="D4" t="e">
        <f ca="1">MODE(A:A)</f>
        <v>#N/A</v>
      </c>
    </row>
    <row r="5" spans="1:4" x14ac:dyDescent="0.25">
      <c r="A5">
        <f t="shared" ca="1" si="0"/>
        <v>170.61204260687441</v>
      </c>
      <c r="C5" t="s">
        <v>2</v>
      </c>
      <c r="D5">
        <f ca="1">STDEV(A:A)</f>
        <v>8.3682010254870196</v>
      </c>
    </row>
    <row r="6" spans="1:4" x14ac:dyDescent="0.25">
      <c r="A6">
        <f t="shared" ca="1" si="0"/>
        <v>172.63447077571936</v>
      </c>
      <c r="C6" t="s">
        <v>3</v>
      </c>
      <c r="D6">
        <f ca="1">A:A</f>
        <v>172.63447077571936</v>
      </c>
    </row>
    <row r="7" spans="1:4" x14ac:dyDescent="0.25">
      <c r="A7">
        <f t="shared" ca="1" si="0"/>
        <v>189.30978821274678</v>
      </c>
      <c r="C7" t="s">
        <v>4</v>
      </c>
      <c r="D7">
        <f ca="1">MIN(A:A)</f>
        <v>164</v>
      </c>
    </row>
    <row r="8" spans="1:4" x14ac:dyDescent="0.25">
      <c r="A8">
        <f t="shared" ca="1" si="0"/>
        <v>181.98155666528271</v>
      </c>
    </row>
    <row r="9" spans="1:4" x14ac:dyDescent="0.25">
      <c r="A9">
        <f t="shared" ca="1" si="0"/>
        <v>179.78604559367659</v>
      </c>
    </row>
    <row r="10" spans="1:4" x14ac:dyDescent="0.25">
      <c r="A10">
        <f t="shared" ca="1" si="0"/>
        <v>182.16068595854952</v>
      </c>
    </row>
    <row r="11" spans="1:4" x14ac:dyDescent="0.25">
      <c r="A11">
        <f t="shared" ca="1" si="0"/>
        <v>180.68952092778886</v>
      </c>
    </row>
    <row r="12" spans="1:4" x14ac:dyDescent="0.25">
      <c r="A12">
        <f t="shared" ca="1" si="0"/>
        <v>180.94530131328972</v>
      </c>
    </row>
    <row r="13" spans="1:4" x14ac:dyDescent="0.25">
      <c r="A13">
        <f t="shared" ca="1" si="0"/>
        <v>182.7762564059571</v>
      </c>
    </row>
    <row r="14" spans="1:4" x14ac:dyDescent="0.25">
      <c r="A14">
        <f t="shared" ca="1" si="0"/>
        <v>188.78182820393098</v>
      </c>
    </row>
    <row r="15" spans="1:4" x14ac:dyDescent="0.25">
      <c r="A15">
        <f t="shared" ca="1" si="0"/>
        <v>176.00920639508408</v>
      </c>
    </row>
    <row r="16" spans="1:4" x14ac:dyDescent="0.25">
      <c r="A16">
        <f t="shared" ca="1" si="0"/>
        <v>178.45272067032255</v>
      </c>
    </row>
    <row r="17" spans="1:1" x14ac:dyDescent="0.25">
      <c r="A17">
        <f t="shared" ca="1" si="0"/>
        <v>178.59890851244282</v>
      </c>
    </row>
    <row r="18" spans="1:1" x14ac:dyDescent="0.25">
      <c r="A18">
        <f t="shared" ca="1" si="0"/>
        <v>176.01405124145828</v>
      </c>
    </row>
    <row r="19" spans="1:1" x14ac:dyDescent="0.25">
      <c r="A19">
        <f t="shared" ca="1" si="0"/>
        <v>178.61950744022627</v>
      </c>
    </row>
    <row r="20" spans="1:1" x14ac:dyDescent="0.25">
      <c r="A20">
        <f t="shared" ca="1" si="0"/>
        <v>184.91572448247169</v>
      </c>
    </row>
    <row r="21" spans="1:1" x14ac:dyDescent="0.25">
      <c r="A21">
        <f t="shared" ca="1" si="0"/>
        <v>176.75503700980721</v>
      </c>
    </row>
    <row r="22" spans="1:1" x14ac:dyDescent="0.25">
      <c r="A22">
        <f t="shared" ca="1" si="0"/>
        <v>176.28555631052859</v>
      </c>
    </row>
    <row r="23" spans="1:1" x14ac:dyDescent="0.25">
      <c r="A23">
        <f t="shared" ca="1" si="0"/>
        <v>184.08553253822453</v>
      </c>
    </row>
    <row r="24" spans="1:1" x14ac:dyDescent="0.25">
      <c r="A24">
        <f t="shared" ca="1" si="0"/>
        <v>177.97578753743568</v>
      </c>
    </row>
    <row r="25" spans="1:1" x14ac:dyDescent="0.25">
      <c r="A25">
        <f t="shared" ca="1" si="0"/>
        <v>186.15971075813101</v>
      </c>
    </row>
    <row r="26" spans="1:1" x14ac:dyDescent="0.25">
      <c r="A26">
        <f t="shared" ca="1" si="0"/>
        <v>179.79991743171092</v>
      </c>
    </row>
    <row r="27" spans="1:1" x14ac:dyDescent="0.25">
      <c r="A27">
        <f t="shared" ca="1" si="0"/>
        <v>177.43705141381298</v>
      </c>
    </row>
    <row r="28" spans="1:1" x14ac:dyDescent="0.25">
      <c r="A28">
        <f t="shared" ca="1" si="0"/>
        <v>183.05140778555432</v>
      </c>
    </row>
    <row r="29" spans="1:1" x14ac:dyDescent="0.25">
      <c r="A29">
        <f t="shared" ca="1" si="0"/>
        <v>181.1418127701441</v>
      </c>
    </row>
    <row r="30" spans="1:1" x14ac:dyDescent="0.25">
      <c r="A30">
        <f t="shared" ca="1" si="0"/>
        <v>182.82497092629291</v>
      </c>
    </row>
    <row r="31" spans="1:1" x14ac:dyDescent="0.25">
      <c r="A31">
        <f t="shared" ca="1" si="0"/>
        <v>177.49930525815333</v>
      </c>
    </row>
    <row r="32" spans="1:1" x14ac:dyDescent="0.25">
      <c r="A32">
        <f t="shared" ca="1" si="0"/>
        <v>175.99461225589462</v>
      </c>
    </row>
    <row r="33" spans="1:1" x14ac:dyDescent="0.25">
      <c r="A33">
        <f>164</f>
        <v>164</v>
      </c>
    </row>
    <row r="34" spans="1:1" x14ac:dyDescent="0.25">
      <c r="A34">
        <f ca="1">A33+NORMINV(RAND(),4,2.5)</f>
        <v>166.53085076247973</v>
      </c>
    </row>
    <row r="35" spans="1:1" x14ac:dyDescent="0.25">
      <c r="A35">
        <f t="shared" ref="A35:A44" ca="1" si="1">A34+NORMINV(RAND(),4,2.5)</f>
        <v>175.56150528857842</v>
      </c>
    </row>
    <row r="36" spans="1:1" x14ac:dyDescent="0.25">
      <c r="A36">
        <f t="shared" ca="1" si="1"/>
        <v>182.89962769787226</v>
      </c>
    </row>
    <row r="37" spans="1:1" x14ac:dyDescent="0.25">
      <c r="A37">
        <f t="shared" ca="1" si="1"/>
        <v>193.98342201671349</v>
      </c>
    </row>
    <row r="38" spans="1:1" x14ac:dyDescent="0.25">
      <c r="A38">
        <f t="shared" ca="1" si="1"/>
        <v>197.63817741463583</v>
      </c>
    </row>
    <row r="39" spans="1:1" x14ac:dyDescent="0.25">
      <c r="A39">
        <f t="shared" ca="1" si="1"/>
        <v>202.39644911770321</v>
      </c>
    </row>
    <row r="40" spans="1:1" x14ac:dyDescent="0.25">
      <c r="A40">
        <f t="shared" ca="1" si="1"/>
        <v>205.91827597288062</v>
      </c>
    </row>
    <row r="41" spans="1:1" x14ac:dyDescent="0.25">
      <c r="A41">
        <f t="shared" ca="1" si="1"/>
        <v>210.13337086755121</v>
      </c>
    </row>
    <row r="42" spans="1:1" x14ac:dyDescent="0.25">
      <c r="A42">
        <f t="shared" ca="1" si="1"/>
        <v>217.41780671717109</v>
      </c>
    </row>
    <row r="43" spans="1:1" x14ac:dyDescent="0.25">
      <c r="A43">
        <f t="shared" ca="1" si="1"/>
        <v>219.85674808628471</v>
      </c>
    </row>
    <row r="44" spans="1:1" x14ac:dyDescent="0.25">
      <c r="A44">
        <f t="shared" ca="1" si="1"/>
        <v>223.80802131026076</v>
      </c>
    </row>
    <row r="45" spans="1:1" x14ac:dyDescent="0.25">
      <c r="A45">
        <f t="shared" ca="1" si="0"/>
        <v>174.76231412118116</v>
      </c>
    </row>
    <row r="46" spans="1:1" x14ac:dyDescent="0.25">
      <c r="A46">
        <f t="shared" ca="1" si="0"/>
        <v>183.64780015907442</v>
      </c>
    </row>
    <row r="47" spans="1:1" x14ac:dyDescent="0.25">
      <c r="A47">
        <f t="shared" ca="1" si="0"/>
        <v>191.47174662419943</v>
      </c>
    </row>
    <row r="48" spans="1:1" x14ac:dyDescent="0.25">
      <c r="A48">
        <f t="shared" ca="1" si="0"/>
        <v>185.50232104311189</v>
      </c>
    </row>
    <row r="49" spans="1:1" x14ac:dyDescent="0.25">
      <c r="A49">
        <f t="shared" ca="1" si="0"/>
        <v>183.4774740900734</v>
      </c>
    </row>
    <row r="50" spans="1:1" x14ac:dyDescent="0.25">
      <c r="A50">
        <f t="shared" ca="1" si="0"/>
        <v>187.85474252587338</v>
      </c>
    </row>
    <row r="51" spans="1:1" x14ac:dyDescent="0.25">
      <c r="A51">
        <f t="shared" ca="1" si="0"/>
        <v>177.78428185728984</v>
      </c>
    </row>
    <row r="52" spans="1:1" x14ac:dyDescent="0.25">
      <c r="A52">
        <f t="shared" ca="1" si="0"/>
        <v>172.59154382315884</v>
      </c>
    </row>
    <row r="53" spans="1:1" x14ac:dyDescent="0.25">
      <c r="A53">
        <f t="shared" ca="1" si="0"/>
        <v>178.91297067178891</v>
      </c>
    </row>
    <row r="54" spans="1:1" x14ac:dyDescent="0.25">
      <c r="A54">
        <f t="shared" ca="1" si="0"/>
        <v>176.10953778382964</v>
      </c>
    </row>
    <row r="55" spans="1:1" x14ac:dyDescent="0.25">
      <c r="A55">
        <f t="shared" ca="1" si="0"/>
        <v>170.20096487155743</v>
      </c>
    </row>
    <row r="56" spans="1:1" x14ac:dyDescent="0.25">
      <c r="A56">
        <f t="shared" ca="1" si="0"/>
        <v>184.16287649881889</v>
      </c>
    </row>
    <row r="57" spans="1:1" x14ac:dyDescent="0.25">
      <c r="A57">
        <f t="shared" ca="1" si="0"/>
        <v>179.47962974980049</v>
      </c>
    </row>
    <row r="58" spans="1:1" x14ac:dyDescent="0.25">
      <c r="A58">
        <f t="shared" ca="1" si="0"/>
        <v>174.27924622231572</v>
      </c>
    </row>
    <row r="59" spans="1:1" x14ac:dyDescent="0.25">
      <c r="A59">
        <f t="shared" ca="1" si="0"/>
        <v>184.53524973166469</v>
      </c>
    </row>
    <row r="60" spans="1:1" x14ac:dyDescent="0.25">
      <c r="A60">
        <f t="shared" ca="1" si="0"/>
        <v>171.23126547856825</v>
      </c>
    </row>
    <row r="61" spans="1:1" x14ac:dyDescent="0.25">
      <c r="A61">
        <f t="shared" ca="1" si="0"/>
        <v>177.68125288916644</v>
      </c>
    </row>
    <row r="62" spans="1:1" x14ac:dyDescent="0.25">
      <c r="A62">
        <f t="shared" ca="1" si="0"/>
        <v>191.99232715449554</v>
      </c>
    </row>
    <row r="63" spans="1:1" x14ac:dyDescent="0.25">
      <c r="A63">
        <f t="shared" ca="1" si="0"/>
        <v>185.12482922413511</v>
      </c>
    </row>
    <row r="64" spans="1:1" x14ac:dyDescent="0.25">
      <c r="A64">
        <f t="shared" ca="1" si="0"/>
        <v>172.89817286248612</v>
      </c>
    </row>
    <row r="65" spans="1:1" x14ac:dyDescent="0.25">
      <c r="A65">
        <f t="shared" ca="1" si="0"/>
        <v>181.69439879664822</v>
      </c>
    </row>
    <row r="66" spans="1:1" x14ac:dyDescent="0.25">
      <c r="A66">
        <f t="shared" ca="1" si="0"/>
        <v>175.55573278869954</v>
      </c>
    </row>
    <row r="67" spans="1:1" x14ac:dyDescent="0.25">
      <c r="A67">
        <f t="shared" ca="1" si="0"/>
        <v>176.66723361115447</v>
      </c>
    </row>
    <row r="68" spans="1:1" x14ac:dyDescent="0.25">
      <c r="A68">
        <f t="shared" ref="A68:A131" ca="1" si="2">NORMINV(RAND(),180,6)</f>
        <v>174.13312520717312</v>
      </c>
    </row>
    <row r="69" spans="1:1" x14ac:dyDescent="0.25">
      <c r="A69">
        <f t="shared" ca="1" si="2"/>
        <v>188.61749410226102</v>
      </c>
    </row>
    <row r="70" spans="1:1" x14ac:dyDescent="0.25">
      <c r="A70">
        <f t="shared" ca="1" si="2"/>
        <v>173.50013932247131</v>
      </c>
    </row>
    <row r="71" spans="1:1" x14ac:dyDescent="0.25">
      <c r="A71">
        <f t="shared" ca="1" si="2"/>
        <v>176.333894047852</v>
      </c>
    </row>
    <row r="72" spans="1:1" x14ac:dyDescent="0.25">
      <c r="A72">
        <f t="shared" ca="1" si="2"/>
        <v>186.50731675545859</v>
      </c>
    </row>
    <row r="73" spans="1:1" x14ac:dyDescent="0.25">
      <c r="A73">
        <f t="shared" ca="1" si="2"/>
        <v>177.36610848243672</v>
      </c>
    </row>
    <row r="74" spans="1:1" x14ac:dyDescent="0.25">
      <c r="A74">
        <f t="shared" ca="1" si="2"/>
        <v>173.56863416929315</v>
      </c>
    </row>
    <row r="75" spans="1:1" x14ac:dyDescent="0.25">
      <c r="A75">
        <f t="shared" ca="1" si="2"/>
        <v>184.24471353365436</v>
      </c>
    </row>
    <row r="76" spans="1:1" x14ac:dyDescent="0.25">
      <c r="A76">
        <f t="shared" ca="1" si="2"/>
        <v>176.24562682778054</v>
      </c>
    </row>
    <row r="77" spans="1:1" x14ac:dyDescent="0.25">
      <c r="A77">
        <f t="shared" ca="1" si="2"/>
        <v>181.84599658755099</v>
      </c>
    </row>
    <row r="78" spans="1:1" x14ac:dyDescent="0.25">
      <c r="A78">
        <f t="shared" ca="1" si="2"/>
        <v>181.19201023217829</v>
      </c>
    </row>
    <row r="79" spans="1:1" x14ac:dyDescent="0.25">
      <c r="A79">
        <f t="shared" ca="1" si="2"/>
        <v>179.27039110036748</v>
      </c>
    </row>
    <row r="80" spans="1:1" x14ac:dyDescent="0.25">
      <c r="A80">
        <f t="shared" ca="1" si="2"/>
        <v>176.94304821437481</v>
      </c>
    </row>
    <row r="81" spans="1:1" x14ac:dyDescent="0.25">
      <c r="A81">
        <f t="shared" ca="1" si="2"/>
        <v>187.47538031006647</v>
      </c>
    </row>
    <row r="82" spans="1:1" x14ac:dyDescent="0.25">
      <c r="A82">
        <f t="shared" ca="1" si="2"/>
        <v>181.51262861900969</v>
      </c>
    </row>
    <row r="83" spans="1:1" x14ac:dyDescent="0.25">
      <c r="A83">
        <f t="shared" ca="1" si="2"/>
        <v>183.52120455565273</v>
      </c>
    </row>
    <row r="84" spans="1:1" x14ac:dyDescent="0.25">
      <c r="A84">
        <f t="shared" ca="1" si="2"/>
        <v>184.49015416196355</v>
      </c>
    </row>
    <row r="85" spans="1:1" x14ac:dyDescent="0.25">
      <c r="A85">
        <f t="shared" ca="1" si="2"/>
        <v>173.65201317680459</v>
      </c>
    </row>
    <row r="86" spans="1:1" x14ac:dyDescent="0.25">
      <c r="A86">
        <f t="shared" ca="1" si="2"/>
        <v>189.86589468848453</v>
      </c>
    </row>
    <row r="87" spans="1:1" x14ac:dyDescent="0.25">
      <c r="A87">
        <f t="shared" ca="1" si="2"/>
        <v>179.80908990561602</v>
      </c>
    </row>
    <row r="88" spans="1:1" x14ac:dyDescent="0.25">
      <c r="A88">
        <f t="shared" ca="1" si="2"/>
        <v>180.09960194300086</v>
      </c>
    </row>
    <row r="89" spans="1:1" x14ac:dyDescent="0.25">
      <c r="A89">
        <f t="shared" ca="1" si="2"/>
        <v>183.58095558003063</v>
      </c>
    </row>
    <row r="90" spans="1:1" x14ac:dyDescent="0.25">
      <c r="A90">
        <f t="shared" ca="1" si="2"/>
        <v>176.50200419733119</v>
      </c>
    </row>
    <row r="91" spans="1:1" x14ac:dyDescent="0.25">
      <c r="A91">
        <f t="shared" ca="1" si="2"/>
        <v>177.38155493102616</v>
      </c>
    </row>
    <row r="92" spans="1:1" x14ac:dyDescent="0.25">
      <c r="A92">
        <f t="shared" ca="1" si="2"/>
        <v>172.9777281354261</v>
      </c>
    </row>
    <row r="93" spans="1:1" x14ac:dyDescent="0.25">
      <c r="A93">
        <f t="shared" ca="1" si="2"/>
        <v>176.65352587791673</v>
      </c>
    </row>
    <row r="94" spans="1:1" x14ac:dyDescent="0.25">
      <c r="A94">
        <f t="shared" ca="1" si="2"/>
        <v>184.73061873307429</v>
      </c>
    </row>
    <row r="95" spans="1:1" x14ac:dyDescent="0.25">
      <c r="A95">
        <f t="shared" ca="1" si="2"/>
        <v>190.15702588730153</v>
      </c>
    </row>
    <row r="96" spans="1:1" x14ac:dyDescent="0.25">
      <c r="A96">
        <f t="shared" ca="1" si="2"/>
        <v>175.15727392919482</v>
      </c>
    </row>
    <row r="97" spans="1:1" x14ac:dyDescent="0.25">
      <c r="A97">
        <f t="shared" ca="1" si="2"/>
        <v>187.75054510158958</v>
      </c>
    </row>
    <row r="98" spans="1:1" x14ac:dyDescent="0.25">
      <c r="A98">
        <f t="shared" ca="1" si="2"/>
        <v>176.88102395376413</v>
      </c>
    </row>
    <row r="99" spans="1:1" x14ac:dyDescent="0.25">
      <c r="A99">
        <f t="shared" ca="1" si="2"/>
        <v>164.81381037242133</v>
      </c>
    </row>
    <row r="100" spans="1:1" x14ac:dyDescent="0.25">
      <c r="A100">
        <f t="shared" ca="1" si="2"/>
        <v>178.26003610492523</v>
      </c>
    </row>
    <row r="101" spans="1:1" x14ac:dyDescent="0.25">
      <c r="A101">
        <f t="shared" ca="1" si="2"/>
        <v>182.74773973635192</v>
      </c>
    </row>
    <row r="102" spans="1:1" x14ac:dyDescent="0.25">
      <c r="A102">
        <f t="shared" ca="1" si="2"/>
        <v>178.47411217337793</v>
      </c>
    </row>
    <row r="103" spans="1:1" x14ac:dyDescent="0.25">
      <c r="A103">
        <f t="shared" ca="1" si="2"/>
        <v>180.16806868652699</v>
      </c>
    </row>
    <row r="104" spans="1:1" x14ac:dyDescent="0.25">
      <c r="A104">
        <f t="shared" ca="1" si="2"/>
        <v>175.31613758607807</v>
      </c>
    </row>
    <row r="105" spans="1:1" x14ac:dyDescent="0.25">
      <c r="A105">
        <f t="shared" ca="1" si="2"/>
        <v>190.82697989269235</v>
      </c>
    </row>
    <row r="106" spans="1:1" x14ac:dyDescent="0.25">
      <c r="A106">
        <f t="shared" ca="1" si="2"/>
        <v>176.17236786240181</v>
      </c>
    </row>
    <row r="107" spans="1:1" x14ac:dyDescent="0.25">
      <c r="A107">
        <f t="shared" ca="1" si="2"/>
        <v>187.58179376658114</v>
      </c>
    </row>
    <row r="108" spans="1:1" x14ac:dyDescent="0.25">
      <c r="A108">
        <f t="shared" ca="1" si="2"/>
        <v>186.82486959079955</v>
      </c>
    </row>
    <row r="109" spans="1:1" x14ac:dyDescent="0.25">
      <c r="A109">
        <f t="shared" ca="1" si="2"/>
        <v>182.28557961040494</v>
      </c>
    </row>
    <row r="110" spans="1:1" x14ac:dyDescent="0.25">
      <c r="A110">
        <f t="shared" ca="1" si="2"/>
        <v>178.78903997320694</v>
      </c>
    </row>
    <row r="111" spans="1:1" x14ac:dyDescent="0.25">
      <c r="A111">
        <f t="shared" ca="1" si="2"/>
        <v>185.2103003910857</v>
      </c>
    </row>
    <row r="112" spans="1:1" x14ac:dyDescent="0.25">
      <c r="A112">
        <f t="shared" ca="1" si="2"/>
        <v>175.75146670973209</v>
      </c>
    </row>
    <row r="113" spans="1:1" x14ac:dyDescent="0.25">
      <c r="A113">
        <f t="shared" ca="1" si="2"/>
        <v>176.27481537472556</v>
      </c>
    </row>
    <row r="114" spans="1:1" x14ac:dyDescent="0.25">
      <c r="A114">
        <f t="shared" ca="1" si="2"/>
        <v>177.57772423421636</v>
      </c>
    </row>
    <row r="115" spans="1:1" x14ac:dyDescent="0.25">
      <c r="A115">
        <f t="shared" ca="1" si="2"/>
        <v>182.63483820509683</v>
      </c>
    </row>
    <row r="116" spans="1:1" x14ac:dyDescent="0.25">
      <c r="A116">
        <f t="shared" ca="1" si="2"/>
        <v>189.71454260045729</v>
      </c>
    </row>
    <row r="117" spans="1:1" x14ac:dyDescent="0.25">
      <c r="A117">
        <f t="shared" ca="1" si="2"/>
        <v>168.06530287729387</v>
      </c>
    </row>
    <row r="118" spans="1:1" x14ac:dyDescent="0.25">
      <c r="A118">
        <f t="shared" ca="1" si="2"/>
        <v>177.45531062053803</v>
      </c>
    </row>
    <row r="119" spans="1:1" x14ac:dyDescent="0.25">
      <c r="A119">
        <f t="shared" ca="1" si="2"/>
        <v>179.90555104162422</v>
      </c>
    </row>
    <row r="120" spans="1:1" x14ac:dyDescent="0.25">
      <c r="A120">
        <f t="shared" ca="1" si="2"/>
        <v>177.64735826372842</v>
      </c>
    </row>
    <row r="121" spans="1:1" x14ac:dyDescent="0.25">
      <c r="A121">
        <f t="shared" ca="1" si="2"/>
        <v>180.77550299545359</v>
      </c>
    </row>
    <row r="122" spans="1:1" x14ac:dyDescent="0.25">
      <c r="A122">
        <f t="shared" ca="1" si="2"/>
        <v>187.49434670007767</v>
      </c>
    </row>
    <row r="123" spans="1:1" x14ac:dyDescent="0.25">
      <c r="A123">
        <f t="shared" ca="1" si="2"/>
        <v>183.01578647960912</v>
      </c>
    </row>
    <row r="124" spans="1:1" x14ac:dyDescent="0.25">
      <c r="A124">
        <f t="shared" ca="1" si="2"/>
        <v>190.30222874970883</v>
      </c>
    </row>
    <row r="125" spans="1:1" x14ac:dyDescent="0.25">
      <c r="A125">
        <f t="shared" ca="1" si="2"/>
        <v>183.74984461583077</v>
      </c>
    </row>
    <row r="126" spans="1:1" x14ac:dyDescent="0.25">
      <c r="A126">
        <f t="shared" ca="1" si="2"/>
        <v>175.76642003830668</v>
      </c>
    </row>
    <row r="127" spans="1:1" x14ac:dyDescent="0.25">
      <c r="A127">
        <f t="shared" ca="1" si="2"/>
        <v>180.76152041658642</v>
      </c>
    </row>
    <row r="128" spans="1:1" x14ac:dyDescent="0.25">
      <c r="A128">
        <f t="shared" ca="1" si="2"/>
        <v>167.74546776995817</v>
      </c>
    </row>
    <row r="129" spans="1:1" x14ac:dyDescent="0.25">
      <c r="A129">
        <f t="shared" ca="1" si="2"/>
        <v>174.65163171441981</v>
      </c>
    </row>
    <row r="130" spans="1:1" x14ac:dyDescent="0.25">
      <c r="A130">
        <f t="shared" ca="1" si="2"/>
        <v>191.80392799609277</v>
      </c>
    </row>
    <row r="131" spans="1:1" x14ac:dyDescent="0.25">
      <c r="A131">
        <f t="shared" ca="1" si="2"/>
        <v>174.84893491160253</v>
      </c>
    </row>
    <row r="132" spans="1:1" x14ac:dyDescent="0.25">
      <c r="A132">
        <f t="shared" ref="A132:A195" ca="1" si="3">NORMINV(RAND(),180,6)</f>
        <v>170.40294682157619</v>
      </c>
    </row>
    <row r="133" spans="1:1" x14ac:dyDescent="0.25">
      <c r="A133">
        <f t="shared" ca="1" si="3"/>
        <v>173.98605018174348</v>
      </c>
    </row>
    <row r="134" spans="1:1" x14ac:dyDescent="0.25">
      <c r="A134">
        <f t="shared" ca="1" si="3"/>
        <v>171.3389314235913</v>
      </c>
    </row>
    <row r="135" spans="1:1" x14ac:dyDescent="0.25">
      <c r="A135">
        <f t="shared" ca="1" si="3"/>
        <v>182.70352302085257</v>
      </c>
    </row>
    <row r="136" spans="1:1" x14ac:dyDescent="0.25">
      <c r="A136">
        <f t="shared" ca="1" si="3"/>
        <v>179.08962573482688</v>
      </c>
    </row>
    <row r="137" spans="1:1" x14ac:dyDescent="0.25">
      <c r="A137">
        <f t="shared" ca="1" si="3"/>
        <v>171.43289620995864</v>
      </c>
    </row>
    <row r="138" spans="1:1" x14ac:dyDescent="0.25">
      <c r="A138">
        <f t="shared" ca="1" si="3"/>
        <v>183.21886341476829</v>
      </c>
    </row>
    <row r="139" spans="1:1" x14ac:dyDescent="0.25">
      <c r="A139">
        <f t="shared" ca="1" si="3"/>
        <v>177.91061884755297</v>
      </c>
    </row>
    <row r="140" spans="1:1" x14ac:dyDescent="0.25">
      <c r="A140">
        <f t="shared" ca="1" si="3"/>
        <v>169.8473961967307</v>
      </c>
    </row>
    <row r="141" spans="1:1" x14ac:dyDescent="0.25">
      <c r="A141">
        <f t="shared" ca="1" si="3"/>
        <v>182.15293648058781</v>
      </c>
    </row>
    <row r="142" spans="1:1" x14ac:dyDescent="0.25">
      <c r="A142">
        <f t="shared" ca="1" si="3"/>
        <v>178.74247339807647</v>
      </c>
    </row>
    <row r="143" spans="1:1" x14ac:dyDescent="0.25">
      <c r="A143">
        <f t="shared" ca="1" si="3"/>
        <v>182.20166657810606</v>
      </c>
    </row>
    <row r="144" spans="1:1" x14ac:dyDescent="0.25">
      <c r="A144">
        <f t="shared" ca="1" si="3"/>
        <v>178.63142150917972</v>
      </c>
    </row>
    <row r="145" spans="1:1" x14ac:dyDescent="0.25">
      <c r="A145">
        <f t="shared" ca="1" si="3"/>
        <v>177.58480442640302</v>
      </c>
    </row>
    <row r="146" spans="1:1" x14ac:dyDescent="0.25">
      <c r="A146">
        <f t="shared" ca="1" si="3"/>
        <v>179.89550937542634</v>
      </c>
    </row>
    <row r="147" spans="1:1" x14ac:dyDescent="0.25">
      <c r="A147">
        <f t="shared" ca="1" si="3"/>
        <v>184.50448223456385</v>
      </c>
    </row>
    <row r="148" spans="1:1" x14ac:dyDescent="0.25">
      <c r="A148">
        <f t="shared" ca="1" si="3"/>
        <v>180.98133754772118</v>
      </c>
    </row>
    <row r="149" spans="1:1" x14ac:dyDescent="0.25">
      <c r="A149">
        <f t="shared" ca="1" si="3"/>
        <v>185.50464883903811</v>
      </c>
    </row>
    <row r="150" spans="1:1" x14ac:dyDescent="0.25">
      <c r="A150">
        <f t="shared" ca="1" si="3"/>
        <v>181.88763849035539</v>
      </c>
    </row>
    <row r="151" spans="1:1" x14ac:dyDescent="0.25">
      <c r="A151">
        <f t="shared" ca="1" si="3"/>
        <v>172.41202605461291</v>
      </c>
    </row>
    <row r="152" spans="1:1" x14ac:dyDescent="0.25">
      <c r="A152">
        <f t="shared" ca="1" si="3"/>
        <v>168.8800263668663</v>
      </c>
    </row>
    <row r="153" spans="1:1" x14ac:dyDescent="0.25">
      <c r="A153">
        <f t="shared" ca="1" si="3"/>
        <v>179.32905221504907</v>
      </c>
    </row>
    <row r="154" spans="1:1" x14ac:dyDescent="0.25">
      <c r="A154">
        <f t="shared" ca="1" si="3"/>
        <v>179.17003298303888</v>
      </c>
    </row>
    <row r="155" spans="1:1" x14ac:dyDescent="0.25">
      <c r="A155">
        <f t="shared" ca="1" si="3"/>
        <v>177.66808041541083</v>
      </c>
    </row>
    <row r="156" spans="1:1" x14ac:dyDescent="0.25">
      <c r="A156">
        <f t="shared" ca="1" si="3"/>
        <v>191.8498184243166</v>
      </c>
    </row>
    <row r="157" spans="1:1" x14ac:dyDescent="0.25">
      <c r="A157">
        <f t="shared" ca="1" si="3"/>
        <v>179.84349268561698</v>
      </c>
    </row>
    <row r="158" spans="1:1" x14ac:dyDescent="0.25">
      <c r="A158">
        <f t="shared" ca="1" si="3"/>
        <v>175.2207614074637</v>
      </c>
    </row>
    <row r="159" spans="1:1" x14ac:dyDescent="0.25">
      <c r="A159">
        <f t="shared" ca="1" si="3"/>
        <v>181.59630469782718</v>
      </c>
    </row>
    <row r="160" spans="1:1" x14ac:dyDescent="0.25">
      <c r="A160">
        <f t="shared" ca="1" si="3"/>
        <v>187.67919659624442</v>
      </c>
    </row>
    <row r="161" spans="1:1" x14ac:dyDescent="0.25">
      <c r="A161">
        <f t="shared" ca="1" si="3"/>
        <v>189.28713696572936</v>
      </c>
    </row>
    <row r="162" spans="1:1" x14ac:dyDescent="0.25">
      <c r="A162">
        <f t="shared" ca="1" si="3"/>
        <v>183.85819666332114</v>
      </c>
    </row>
    <row r="163" spans="1:1" x14ac:dyDescent="0.25">
      <c r="A163">
        <f t="shared" ca="1" si="3"/>
        <v>173.0068988226906</v>
      </c>
    </row>
    <row r="164" spans="1:1" x14ac:dyDescent="0.25">
      <c r="A164">
        <f t="shared" ca="1" si="3"/>
        <v>173.45950328816019</v>
      </c>
    </row>
    <row r="165" spans="1:1" x14ac:dyDescent="0.25">
      <c r="A165">
        <f t="shared" ca="1" si="3"/>
        <v>177.92884906302129</v>
      </c>
    </row>
    <row r="166" spans="1:1" x14ac:dyDescent="0.25">
      <c r="A166">
        <f t="shared" ca="1" si="3"/>
        <v>191.46322324864593</v>
      </c>
    </row>
    <row r="167" spans="1:1" x14ac:dyDescent="0.25">
      <c r="A167">
        <f t="shared" ca="1" si="3"/>
        <v>178.49570381631065</v>
      </c>
    </row>
    <row r="168" spans="1:1" x14ac:dyDescent="0.25">
      <c r="A168">
        <f t="shared" ca="1" si="3"/>
        <v>185.40098420688406</v>
      </c>
    </row>
    <row r="169" spans="1:1" x14ac:dyDescent="0.25">
      <c r="A169">
        <f t="shared" ca="1" si="3"/>
        <v>183.27844342253954</v>
      </c>
    </row>
    <row r="170" spans="1:1" x14ac:dyDescent="0.25">
      <c r="A170">
        <f t="shared" ca="1" si="3"/>
        <v>165.59355749656527</v>
      </c>
    </row>
    <row r="171" spans="1:1" x14ac:dyDescent="0.25">
      <c r="A171">
        <f t="shared" ca="1" si="3"/>
        <v>182.77608217208967</v>
      </c>
    </row>
    <row r="172" spans="1:1" x14ac:dyDescent="0.25">
      <c r="A172">
        <f t="shared" ca="1" si="3"/>
        <v>190.65503582045844</v>
      </c>
    </row>
    <row r="173" spans="1:1" x14ac:dyDescent="0.25">
      <c r="A173">
        <f t="shared" ca="1" si="3"/>
        <v>176.82520533039502</v>
      </c>
    </row>
    <row r="174" spans="1:1" x14ac:dyDescent="0.25">
      <c r="A174">
        <f t="shared" ca="1" si="3"/>
        <v>188.04487717921555</v>
      </c>
    </row>
    <row r="175" spans="1:1" x14ac:dyDescent="0.25">
      <c r="A175">
        <f t="shared" ca="1" si="3"/>
        <v>180.29905464816105</v>
      </c>
    </row>
    <row r="176" spans="1:1" x14ac:dyDescent="0.25">
      <c r="A176">
        <f t="shared" ca="1" si="3"/>
        <v>178.51806137309924</v>
      </c>
    </row>
    <row r="177" spans="1:1" x14ac:dyDescent="0.25">
      <c r="A177">
        <f t="shared" ca="1" si="3"/>
        <v>174.8213913890763</v>
      </c>
    </row>
    <row r="178" spans="1:1" x14ac:dyDescent="0.25">
      <c r="A178">
        <f t="shared" ca="1" si="3"/>
        <v>179.20792893406377</v>
      </c>
    </row>
    <row r="179" spans="1:1" x14ac:dyDescent="0.25">
      <c r="A179">
        <f t="shared" ca="1" si="3"/>
        <v>182.69270332960539</v>
      </c>
    </row>
    <row r="180" spans="1:1" x14ac:dyDescent="0.25">
      <c r="A180">
        <f t="shared" ca="1" si="3"/>
        <v>179.99572888472579</v>
      </c>
    </row>
    <row r="181" spans="1:1" x14ac:dyDescent="0.25">
      <c r="A181">
        <f t="shared" ca="1" si="3"/>
        <v>175.7341937744479</v>
      </c>
    </row>
    <row r="182" spans="1:1" x14ac:dyDescent="0.25">
      <c r="A182">
        <f t="shared" ca="1" si="3"/>
        <v>180.85775008799158</v>
      </c>
    </row>
    <row r="183" spans="1:1" x14ac:dyDescent="0.25">
      <c r="A183">
        <f t="shared" ca="1" si="3"/>
        <v>178.83106775084855</v>
      </c>
    </row>
    <row r="184" spans="1:1" x14ac:dyDescent="0.25">
      <c r="A184">
        <f t="shared" ca="1" si="3"/>
        <v>181.97398722954483</v>
      </c>
    </row>
    <row r="185" spans="1:1" x14ac:dyDescent="0.25">
      <c r="A185">
        <f t="shared" ca="1" si="3"/>
        <v>183.95671717843291</v>
      </c>
    </row>
    <row r="186" spans="1:1" x14ac:dyDescent="0.25">
      <c r="A186">
        <f t="shared" ca="1" si="3"/>
        <v>177.83103712973752</v>
      </c>
    </row>
    <row r="187" spans="1:1" x14ac:dyDescent="0.25">
      <c r="A187">
        <f t="shared" ca="1" si="3"/>
        <v>187.46715864071118</v>
      </c>
    </row>
    <row r="188" spans="1:1" x14ac:dyDescent="0.25">
      <c r="A188">
        <f t="shared" ca="1" si="3"/>
        <v>186.41405354263887</v>
      </c>
    </row>
    <row r="189" spans="1:1" x14ac:dyDescent="0.25">
      <c r="A189">
        <f t="shared" ca="1" si="3"/>
        <v>182.81796735923172</v>
      </c>
    </row>
    <row r="190" spans="1:1" x14ac:dyDescent="0.25">
      <c r="A190">
        <f t="shared" ca="1" si="3"/>
        <v>170.98112979862483</v>
      </c>
    </row>
    <row r="191" spans="1:1" x14ac:dyDescent="0.25">
      <c r="A191">
        <f t="shared" ca="1" si="3"/>
        <v>172.68304396543445</v>
      </c>
    </row>
    <row r="192" spans="1:1" x14ac:dyDescent="0.25">
      <c r="A192">
        <f t="shared" ca="1" si="3"/>
        <v>175.05680266199417</v>
      </c>
    </row>
    <row r="193" spans="1:1" x14ac:dyDescent="0.25">
      <c r="A193">
        <f t="shared" ca="1" si="3"/>
        <v>174.29867796128528</v>
      </c>
    </row>
    <row r="194" spans="1:1" x14ac:dyDescent="0.25">
      <c r="A194">
        <f t="shared" ca="1" si="3"/>
        <v>195.68248160109414</v>
      </c>
    </row>
    <row r="195" spans="1:1" x14ac:dyDescent="0.25">
      <c r="A195">
        <f t="shared" ca="1" si="3"/>
        <v>176.22906287531279</v>
      </c>
    </row>
    <row r="196" spans="1:1" x14ac:dyDescent="0.25">
      <c r="A196">
        <f t="shared" ref="A196:A205" ca="1" si="4">NORMINV(RAND(),180,6)</f>
        <v>194.01513286562903</v>
      </c>
    </row>
    <row r="197" spans="1:1" x14ac:dyDescent="0.25">
      <c r="A197">
        <f t="shared" ca="1" si="4"/>
        <v>190.2666897692408</v>
      </c>
    </row>
    <row r="198" spans="1:1" x14ac:dyDescent="0.25">
      <c r="A198">
        <f t="shared" ca="1" si="4"/>
        <v>177.36702463370329</v>
      </c>
    </row>
    <row r="199" spans="1:1" x14ac:dyDescent="0.25">
      <c r="A199">
        <f t="shared" ca="1" si="4"/>
        <v>187.82381676317098</v>
      </c>
    </row>
    <row r="200" spans="1:1" x14ac:dyDescent="0.25">
      <c r="A200">
        <f t="shared" ca="1" si="4"/>
        <v>174.85850766821153</v>
      </c>
    </row>
    <row r="201" spans="1:1" x14ac:dyDescent="0.25">
      <c r="A201">
        <f t="shared" ca="1" si="4"/>
        <v>180.66439493555066</v>
      </c>
    </row>
    <row r="202" spans="1:1" x14ac:dyDescent="0.25">
      <c r="A202">
        <f t="shared" ca="1" si="4"/>
        <v>181.45754545841874</v>
      </c>
    </row>
    <row r="203" spans="1:1" x14ac:dyDescent="0.25">
      <c r="A203">
        <f t="shared" ca="1" si="4"/>
        <v>181.25116349692456</v>
      </c>
    </row>
    <row r="204" spans="1:1" x14ac:dyDescent="0.25">
      <c r="A204">
        <f t="shared" ca="1" si="4"/>
        <v>175.2683311521107</v>
      </c>
    </row>
    <row r="205" spans="1:1" x14ac:dyDescent="0.25">
      <c r="A205">
        <f t="shared" ca="1" si="4"/>
        <v>178.52325564668118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B100"/>
  <sheetViews>
    <sheetView workbookViewId="0">
      <selection activeCell="AB27" sqref="AB27"/>
    </sheetView>
  </sheetViews>
  <sheetFormatPr defaultRowHeight="15" x14ac:dyDescent="0.25"/>
  <sheetData>
    <row r="2" spans="1:2" x14ac:dyDescent="0.25">
      <c r="A2" t="s">
        <v>7</v>
      </c>
      <c r="B2" t="s">
        <v>8</v>
      </c>
    </row>
    <row r="3" spans="1:2" x14ac:dyDescent="0.25">
      <c r="A3">
        <f ca="1">NORMINV(RAND(),180,6)</f>
        <v>175.45940457928643</v>
      </c>
      <c r="B3">
        <f ca="1">A3*0.8+50+NORMINV(RAND(),0,5)</f>
        <v>183.87603363983197</v>
      </c>
    </row>
    <row r="4" spans="1:2" x14ac:dyDescent="0.25">
      <c r="A4">
        <f t="shared" ref="A4:A67" ca="1" si="0">NORMINV(RAND(),180,6)</f>
        <v>169.81175420950433</v>
      </c>
      <c r="B4">
        <f t="shared" ref="B4:B67" ca="1" si="1">A4*0.8+50+NORMINV(RAND(),0,5)</f>
        <v>190.26863417787931</v>
      </c>
    </row>
    <row r="5" spans="1:2" x14ac:dyDescent="0.25">
      <c r="A5">
        <f t="shared" ca="1" si="0"/>
        <v>183.09044310732887</v>
      </c>
      <c r="B5">
        <f t="shared" ca="1" si="1"/>
        <v>195.11449752811905</v>
      </c>
    </row>
    <row r="6" spans="1:2" x14ac:dyDescent="0.25">
      <c r="A6">
        <f t="shared" ca="1" si="0"/>
        <v>172.18563496849885</v>
      </c>
      <c r="B6">
        <f t="shared" ca="1" si="1"/>
        <v>188.31577842515125</v>
      </c>
    </row>
    <row r="7" spans="1:2" x14ac:dyDescent="0.25">
      <c r="A7">
        <f t="shared" ca="1" si="0"/>
        <v>178.51373723733147</v>
      </c>
      <c r="B7">
        <f t="shared" ca="1" si="1"/>
        <v>191.90451122721313</v>
      </c>
    </row>
    <row r="8" spans="1:2" x14ac:dyDescent="0.25">
      <c r="A8">
        <f t="shared" ca="1" si="0"/>
        <v>182.46300639622925</v>
      </c>
      <c r="B8">
        <f t="shared" ca="1" si="1"/>
        <v>196.28605038122276</v>
      </c>
    </row>
    <row r="9" spans="1:2" x14ac:dyDescent="0.25">
      <c r="A9">
        <f t="shared" ca="1" si="0"/>
        <v>173.52158360176787</v>
      </c>
      <c r="B9">
        <f t="shared" ca="1" si="1"/>
        <v>184.92455587220664</v>
      </c>
    </row>
    <row r="10" spans="1:2" x14ac:dyDescent="0.25">
      <c r="A10">
        <f t="shared" ca="1" si="0"/>
        <v>185.54651231287116</v>
      </c>
      <c r="B10">
        <f t="shared" ca="1" si="1"/>
        <v>193.47232399762001</v>
      </c>
    </row>
    <row r="11" spans="1:2" x14ac:dyDescent="0.25">
      <c r="A11">
        <f t="shared" ca="1" si="0"/>
        <v>170.03929468020959</v>
      </c>
      <c r="B11">
        <f t="shared" ca="1" si="1"/>
        <v>182.02970728900405</v>
      </c>
    </row>
    <row r="12" spans="1:2" x14ac:dyDescent="0.25">
      <c r="A12">
        <f t="shared" ca="1" si="0"/>
        <v>183.06074851652141</v>
      </c>
      <c r="B12">
        <f t="shared" ca="1" si="1"/>
        <v>197.27713780830371</v>
      </c>
    </row>
    <row r="13" spans="1:2" x14ac:dyDescent="0.25">
      <c r="A13">
        <f t="shared" ca="1" si="0"/>
        <v>179.53574445561881</v>
      </c>
      <c r="B13">
        <f t="shared" ca="1" si="1"/>
        <v>197.02649639815775</v>
      </c>
    </row>
    <row r="14" spans="1:2" x14ac:dyDescent="0.25">
      <c r="A14">
        <f t="shared" ca="1" si="0"/>
        <v>176.49359474036345</v>
      </c>
      <c r="B14">
        <f t="shared" ca="1" si="1"/>
        <v>188.61431317348791</v>
      </c>
    </row>
    <row r="15" spans="1:2" x14ac:dyDescent="0.25">
      <c r="A15">
        <f t="shared" ca="1" si="0"/>
        <v>175.70209841578043</v>
      </c>
      <c r="B15">
        <f t="shared" ca="1" si="1"/>
        <v>185.36736616341921</v>
      </c>
    </row>
    <row r="16" spans="1:2" x14ac:dyDescent="0.25">
      <c r="A16">
        <f t="shared" ca="1" si="0"/>
        <v>181.25286215384691</v>
      </c>
      <c r="B16">
        <f t="shared" ca="1" si="1"/>
        <v>198.06032338568042</v>
      </c>
    </row>
    <row r="17" spans="1:2" x14ac:dyDescent="0.25">
      <c r="A17">
        <f t="shared" ca="1" si="0"/>
        <v>186.56530996580369</v>
      </c>
      <c r="B17">
        <f t="shared" ca="1" si="1"/>
        <v>196.40648866940205</v>
      </c>
    </row>
    <row r="18" spans="1:2" x14ac:dyDescent="0.25">
      <c r="A18">
        <f t="shared" ca="1" si="0"/>
        <v>171.50363398572634</v>
      </c>
      <c r="B18">
        <f t="shared" ca="1" si="1"/>
        <v>187.72388061569791</v>
      </c>
    </row>
    <row r="19" spans="1:2" x14ac:dyDescent="0.25">
      <c r="A19">
        <f t="shared" ca="1" si="0"/>
        <v>169.72652486507826</v>
      </c>
      <c r="B19">
        <f t="shared" ca="1" si="1"/>
        <v>189.48251569188665</v>
      </c>
    </row>
    <row r="20" spans="1:2" x14ac:dyDescent="0.25">
      <c r="A20">
        <f t="shared" ca="1" si="0"/>
        <v>168.7351242871608</v>
      </c>
      <c r="B20">
        <f t="shared" ca="1" si="1"/>
        <v>186.43582997689805</v>
      </c>
    </row>
    <row r="21" spans="1:2" x14ac:dyDescent="0.25">
      <c r="A21">
        <f t="shared" ca="1" si="0"/>
        <v>179.18620707697445</v>
      </c>
      <c r="B21">
        <f t="shared" ca="1" si="1"/>
        <v>192.27498582502344</v>
      </c>
    </row>
    <row r="22" spans="1:2" x14ac:dyDescent="0.25">
      <c r="A22">
        <f t="shared" ca="1" si="0"/>
        <v>178.92440698205982</v>
      </c>
      <c r="B22">
        <f t="shared" ca="1" si="1"/>
        <v>196.92013657723885</v>
      </c>
    </row>
    <row r="23" spans="1:2" x14ac:dyDescent="0.25">
      <c r="A23">
        <f t="shared" ca="1" si="0"/>
        <v>173.86979120694645</v>
      </c>
      <c r="B23">
        <f t="shared" ca="1" si="1"/>
        <v>184.30619619698126</v>
      </c>
    </row>
    <row r="24" spans="1:2" x14ac:dyDescent="0.25">
      <c r="A24">
        <f t="shared" ca="1" si="0"/>
        <v>176.87459453784842</v>
      </c>
      <c r="B24">
        <f t="shared" ca="1" si="1"/>
        <v>189.73026214119997</v>
      </c>
    </row>
    <row r="25" spans="1:2" x14ac:dyDescent="0.25">
      <c r="A25">
        <f t="shared" ca="1" si="0"/>
        <v>176.44706073513944</v>
      </c>
      <c r="B25">
        <f t="shared" ca="1" si="1"/>
        <v>195.62581717256649</v>
      </c>
    </row>
    <row r="26" spans="1:2" x14ac:dyDescent="0.25">
      <c r="A26">
        <f t="shared" ca="1" si="0"/>
        <v>182.98922420915881</v>
      </c>
      <c r="B26">
        <f t="shared" ca="1" si="1"/>
        <v>192.54492341476106</v>
      </c>
    </row>
    <row r="27" spans="1:2" x14ac:dyDescent="0.25">
      <c r="A27">
        <f t="shared" ca="1" si="0"/>
        <v>173.72519611559781</v>
      </c>
      <c r="B27">
        <f t="shared" ca="1" si="1"/>
        <v>186.60330491467005</v>
      </c>
    </row>
    <row r="28" spans="1:2" x14ac:dyDescent="0.25">
      <c r="A28">
        <f t="shared" ca="1" si="0"/>
        <v>182.47633339431408</v>
      </c>
      <c r="B28">
        <f t="shared" ca="1" si="1"/>
        <v>195.48382513257684</v>
      </c>
    </row>
    <row r="29" spans="1:2" x14ac:dyDescent="0.25">
      <c r="A29">
        <f t="shared" ca="1" si="0"/>
        <v>188.45194731833482</v>
      </c>
      <c r="B29">
        <f t="shared" ca="1" si="1"/>
        <v>210.22016838002267</v>
      </c>
    </row>
    <row r="30" spans="1:2" x14ac:dyDescent="0.25">
      <c r="A30">
        <f t="shared" ca="1" si="0"/>
        <v>187.90808221380854</v>
      </c>
      <c r="B30">
        <f t="shared" ca="1" si="1"/>
        <v>193.53823443448005</v>
      </c>
    </row>
    <row r="31" spans="1:2" x14ac:dyDescent="0.25">
      <c r="A31">
        <f t="shared" ca="1" si="0"/>
        <v>177.28214150548919</v>
      </c>
      <c r="B31">
        <f t="shared" ca="1" si="1"/>
        <v>191.18888845369653</v>
      </c>
    </row>
    <row r="32" spans="1:2" x14ac:dyDescent="0.25">
      <c r="A32">
        <f t="shared" ca="1" si="0"/>
        <v>164.73287171973593</v>
      </c>
      <c r="B32">
        <f t="shared" ca="1" si="1"/>
        <v>188.1900120385676</v>
      </c>
    </row>
    <row r="33" spans="1:2" x14ac:dyDescent="0.25">
      <c r="A33">
        <f t="shared" ca="1" si="0"/>
        <v>176.99596638533964</v>
      </c>
      <c r="B33">
        <f t="shared" ca="1" si="1"/>
        <v>200.64276564067825</v>
      </c>
    </row>
    <row r="34" spans="1:2" x14ac:dyDescent="0.25">
      <c r="A34">
        <f t="shared" ca="1" si="0"/>
        <v>179.28176582247451</v>
      </c>
      <c r="B34">
        <f t="shared" ca="1" si="1"/>
        <v>193.85043889430457</v>
      </c>
    </row>
    <row r="35" spans="1:2" x14ac:dyDescent="0.25">
      <c r="A35">
        <f t="shared" ca="1" si="0"/>
        <v>175.39694785299807</v>
      </c>
      <c r="B35">
        <f t="shared" ca="1" si="1"/>
        <v>193.41716878157962</v>
      </c>
    </row>
    <row r="36" spans="1:2" x14ac:dyDescent="0.25">
      <c r="A36">
        <f t="shared" ca="1" si="0"/>
        <v>173.21345027741333</v>
      </c>
      <c r="B36">
        <f t="shared" ca="1" si="1"/>
        <v>197.39908112757504</v>
      </c>
    </row>
    <row r="37" spans="1:2" x14ac:dyDescent="0.25">
      <c r="A37">
        <f t="shared" ca="1" si="0"/>
        <v>176.18912277823836</v>
      </c>
      <c r="B37">
        <f t="shared" ca="1" si="1"/>
        <v>191.30713551202874</v>
      </c>
    </row>
    <row r="38" spans="1:2" x14ac:dyDescent="0.25">
      <c r="A38">
        <f t="shared" ca="1" si="0"/>
        <v>181.01804330098381</v>
      </c>
      <c r="B38">
        <f t="shared" ca="1" si="1"/>
        <v>196.08209602661961</v>
      </c>
    </row>
    <row r="39" spans="1:2" x14ac:dyDescent="0.25">
      <c r="A39">
        <f t="shared" ca="1" si="0"/>
        <v>173.99202159319421</v>
      </c>
      <c r="B39">
        <f t="shared" ca="1" si="1"/>
        <v>177.12531805435671</v>
      </c>
    </row>
    <row r="40" spans="1:2" x14ac:dyDescent="0.25">
      <c r="A40">
        <f t="shared" ca="1" si="0"/>
        <v>177.08805850674898</v>
      </c>
      <c r="B40">
        <f t="shared" ca="1" si="1"/>
        <v>194.24401519397674</v>
      </c>
    </row>
    <row r="41" spans="1:2" x14ac:dyDescent="0.25">
      <c r="A41">
        <f t="shared" ca="1" si="0"/>
        <v>179.74516475097744</v>
      </c>
      <c r="B41">
        <f t="shared" ca="1" si="1"/>
        <v>192.37611236390239</v>
      </c>
    </row>
    <row r="42" spans="1:2" x14ac:dyDescent="0.25">
      <c r="A42">
        <f t="shared" ca="1" si="0"/>
        <v>190.01780629258477</v>
      </c>
      <c r="B42">
        <f t="shared" ca="1" si="1"/>
        <v>203.50103981970659</v>
      </c>
    </row>
    <row r="43" spans="1:2" x14ac:dyDescent="0.25">
      <c r="A43">
        <f t="shared" ca="1" si="0"/>
        <v>177.30165089628966</v>
      </c>
      <c r="B43">
        <f t="shared" ca="1" si="1"/>
        <v>189.57129809668012</v>
      </c>
    </row>
    <row r="44" spans="1:2" x14ac:dyDescent="0.25">
      <c r="A44">
        <f t="shared" ca="1" si="0"/>
        <v>171.07215734490154</v>
      </c>
      <c r="B44">
        <f t="shared" ca="1" si="1"/>
        <v>190.34670404312268</v>
      </c>
    </row>
    <row r="45" spans="1:2" x14ac:dyDescent="0.25">
      <c r="A45">
        <f t="shared" ca="1" si="0"/>
        <v>185.97816796640421</v>
      </c>
      <c r="B45">
        <f t="shared" ca="1" si="1"/>
        <v>205.03629956389113</v>
      </c>
    </row>
    <row r="46" spans="1:2" x14ac:dyDescent="0.25">
      <c r="A46">
        <f t="shared" ca="1" si="0"/>
        <v>180.22027660305253</v>
      </c>
      <c r="B46">
        <f t="shared" ca="1" si="1"/>
        <v>191.57058008542825</v>
      </c>
    </row>
    <row r="47" spans="1:2" x14ac:dyDescent="0.25">
      <c r="A47">
        <f t="shared" ca="1" si="0"/>
        <v>183.52654989137702</v>
      </c>
      <c r="B47">
        <f t="shared" ca="1" si="1"/>
        <v>194.80112315736292</v>
      </c>
    </row>
    <row r="48" spans="1:2" x14ac:dyDescent="0.25">
      <c r="A48">
        <f t="shared" ca="1" si="0"/>
        <v>182.20274214029158</v>
      </c>
      <c r="B48">
        <f t="shared" ca="1" si="1"/>
        <v>196.15966738356684</v>
      </c>
    </row>
    <row r="49" spans="1:2" x14ac:dyDescent="0.25">
      <c r="A49">
        <f t="shared" ca="1" si="0"/>
        <v>178.1353395910312</v>
      </c>
      <c r="B49">
        <f t="shared" ca="1" si="1"/>
        <v>189.58760710306552</v>
      </c>
    </row>
    <row r="50" spans="1:2" x14ac:dyDescent="0.25">
      <c r="A50">
        <f t="shared" ca="1" si="0"/>
        <v>181.06625466937012</v>
      </c>
      <c r="B50">
        <f t="shared" ca="1" si="1"/>
        <v>195.87705493035057</v>
      </c>
    </row>
    <row r="51" spans="1:2" x14ac:dyDescent="0.25">
      <c r="A51">
        <f t="shared" ca="1" si="0"/>
        <v>182.07554156910751</v>
      </c>
      <c r="B51">
        <f t="shared" ca="1" si="1"/>
        <v>191.47870796790124</v>
      </c>
    </row>
    <row r="52" spans="1:2" x14ac:dyDescent="0.25">
      <c r="A52">
        <f t="shared" ca="1" si="0"/>
        <v>184.67264119798367</v>
      </c>
      <c r="B52">
        <f t="shared" ca="1" si="1"/>
        <v>205.55507993167055</v>
      </c>
    </row>
    <row r="53" spans="1:2" x14ac:dyDescent="0.25">
      <c r="A53">
        <f t="shared" ca="1" si="0"/>
        <v>183.1136389508269</v>
      </c>
      <c r="B53">
        <f t="shared" ca="1" si="1"/>
        <v>194.99720848876976</v>
      </c>
    </row>
    <row r="54" spans="1:2" x14ac:dyDescent="0.25">
      <c r="A54">
        <f t="shared" ca="1" si="0"/>
        <v>179.32825450261706</v>
      </c>
      <c r="B54">
        <f t="shared" ca="1" si="1"/>
        <v>190.53191722473559</v>
      </c>
    </row>
    <row r="55" spans="1:2" x14ac:dyDescent="0.25">
      <c r="A55">
        <f t="shared" ca="1" si="0"/>
        <v>182.92832857748959</v>
      </c>
      <c r="B55">
        <f t="shared" ca="1" si="1"/>
        <v>192.9854956573912</v>
      </c>
    </row>
    <row r="56" spans="1:2" x14ac:dyDescent="0.25">
      <c r="A56">
        <f t="shared" ca="1" si="0"/>
        <v>174.352931361364</v>
      </c>
      <c r="B56">
        <f t="shared" ca="1" si="1"/>
        <v>185.94314064770182</v>
      </c>
    </row>
    <row r="57" spans="1:2" x14ac:dyDescent="0.25">
      <c r="A57">
        <f t="shared" ca="1" si="0"/>
        <v>175.65246232485083</v>
      </c>
      <c r="B57">
        <f t="shared" ca="1" si="1"/>
        <v>193.56085480272009</v>
      </c>
    </row>
    <row r="58" spans="1:2" x14ac:dyDescent="0.25">
      <c r="A58">
        <f t="shared" ca="1" si="0"/>
        <v>184.03818945649377</v>
      </c>
      <c r="B58">
        <f t="shared" ca="1" si="1"/>
        <v>202.1797306354141</v>
      </c>
    </row>
    <row r="59" spans="1:2" x14ac:dyDescent="0.25">
      <c r="A59">
        <f t="shared" ca="1" si="0"/>
        <v>172.81713516446374</v>
      </c>
      <c r="B59">
        <f t="shared" ca="1" si="1"/>
        <v>179.93918277176235</v>
      </c>
    </row>
    <row r="60" spans="1:2" x14ac:dyDescent="0.25">
      <c r="A60">
        <f t="shared" ca="1" si="0"/>
        <v>181.61055755937636</v>
      </c>
      <c r="B60">
        <f t="shared" ca="1" si="1"/>
        <v>185.83311983933845</v>
      </c>
    </row>
    <row r="61" spans="1:2" x14ac:dyDescent="0.25">
      <c r="A61">
        <f t="shared" ca="1" si="0"/>
        <v>177.4545342692214</v>
      </c>
      <c r="B61">
        <f t="shared" ca="1" si="1"/>
        <v>193.5338033903169</v>
      </c>
    </row>
    <row r="62" spans="1:2" x14ac:dyDescent="0.25">
      <c r="A62">
        <f t="shared" ca="1" si="0"/>
        <v>184.50316794559248</v>
      </c>
      <c r="B62">
        <f t="shared" ca="1" si="1"/>
        <v>190.59794042373227</v>
      </c>
    </row>
    <row r="63" spans="1:2" x14ac:dyDescent="0.25">
      <c r="A63">
        <f t="shared" ca="1" si="0"/>
        <v>176.64315836384122</v>
      </c>
      <c r="B63">
        <f t="shared" ca="1" si="1"/>
        <v>186.10328296233268</v>
      </c>
    </row>
    <row r="64" spans="1:2" x14ac:dyDescent="0.25">
      <c r="A64">
        <f t="shared" ca="1" si="0"/>
        <v>176.24318295465605</v>
      </c>
      <c r="B64">
        <f t="shared" ca="1" si="1"/>
        <v>193.9968454108332</v>
      </c>
    </row>
    <row r="65" spans="1:2" x14ac:dyDescent="0.25">
      <c r="A65">
        <f t="shared" ca="1" si="0"/>
        <v>183.1120313642682</v>
      </c>
      <c r="B65">
        <f t="shared" ca="1" si="1"/>
        <v>198.55571794702732</v>
      </c>
    </row>
    <row r="66" spans="1:2" x14ac:dyDescent="0.25">
      <c r="A66">
        <f t="shared" ca="1" si="0"/>
        <v>176.6895542572405</v>
      </c>
      <c r="B66">
        <f t="shared" ca="1" si="1"/>
        <v>190.92127223581321</v>
      </c>
    </row>
    <row r="67" spans="1:2" x14ac:dyDescent="0.25">
      <c r="A67">
        <f t="shared" ca="1" si="0"/>
        <v>179.85975191925141</v>
      </c>
      <c r="B67">
        <f t="shared" ca="1" si="1"/>
        <v>193.07300761214745</v>
      </c>
    </row>
    <row r="68" spans="1:2" x14ac:dyDescent="0.25">
      <c r="A68">
        <f t="shared" ref="A68:A100" ca="1" si="2">NORMINV(RAND(),180,6)</f>
        <v>183.88948816112298</v>
      </c>
      <c r="B68">
        <f t="shared" ref="B68:B100" ca="1" si="3">A68*0.8+50+NORMINV(RAND(),0,5)</f>
        <v>196.78967718793854</v>
      </c>
    </row>
    <row r="69" spans="1:2" x14ac:dyDescent="0.25">
      <c r="A69">
        <f t="shared" ca="1" si="2"/>
        <v>183.09049954529624</v>
      </c>
      <c r="B69">
        <f t="shared" ca="1" si="3"/>
        <v>193.20187224688144</v>
      </c>
    </row>
    <row r="70" spans="1:2" x14ac:dyDescent="0.25">
      <c r="A70">
        <f t="shared" ca="1" si="2"/>
        <v>179.59997523796949</v>
      </c>
      <c r="B70">
        <f t="shared" ca="1" si="3"/>
        <v>187.18923361326242</v>
      </c>
    </row>
    <row r="71" spans="1:2" x14ac:dyDescent="0.25">
      <c r="A71">
        <f t="shared" ca="1" si="2"/>
        <v>183.93194389744357</v>
      </c>
      <c r="B71">
        <f t="shared" ca="1" si="3"/>
        <v>188.46123951020883</v>
      </c>
    </row>
    <row r="72" spans="1:2" x14ac:dyDescent="0.25">
      <c r="A72">
        <f t="shared" ca="1" si="2"/>
        <v>181.89137342174428</v>
      </c>
      <c r="B72">
        <f t="shared" ca="1" si="3"/>
        <v>195.45291862565983</v>
      </c>
    </row>
    <row r="73" spans="1:2" x14ac:dyDescent="0.25">
      <c r="A73">
        <f t="shared" ca="1" si="2"/>
        <v>175.90545133695684</v>
      </c>
      <c r="B73">
        <f t="shared" ca="1" si="3"/>
        <v>181.37824952506614</v>
      </c>
    </row>
    <row r="74" spans="1:2" x14ac:dyDescent="0.25">
      <c r="A74">
        <f t="shared" ca="1" si="2"/>
        <v>175.50786084210708</v>
      </c>
      <c r="B74">
        <f t="shared" ca="1" si="3"/>
        <v>186.2929328498694</v>
      </c>
    </row>
    <row r="75" spans="1:2" x14ac:dyDescent="0.25">
      <c r="A75">
        <f t="shared" ca="1" si="2"/>
        <v>171.02857312017309</v>
      </c>
      <c r="B75">
        <f t="shared" ca="1" si="3"/>
        <v>186.27493175269183</v>
      </c>
    </row>
    <row r="76" spans="1:2" x14ac:dyDescent="0.25">
      <c r="A76">
        <f t="shared" ca="1" si="2"/>
        <v>172.87453465576027</v>
      </c>
      <c r="B76">
        <f t="shared" ca="1" si="3"/>
        <v>188.59919737539883</v>
      </c>
    </row>
    <row r="77" spans="1:2" x14ac:dyDescent="0.25">
      <c r="A77" s="1">
        <v>198.35130000000001</v>
      </c>
      <c r="B77" s="1">
        <v>181.46546000000001</v>
      </c>
    </row>
    <row r="78" spans="1:2" x14ac:dyDescent="0.25">
      <c r="A78">
        <f t="shared" ca="1" si="2"/>
        <v>179.71798069576195</v>
      </c>
      <c r="B78">
        <f t="shared" ca="1" si="3"/>
        <v>196.4574950315419</v>
      </c>
    </row>
    <row r="79" spans="1:2" x14ac:dyDescent="0.25">
      <c r="A79">
        <f t="shared" ca="1" si="2"/>
        <v>180.75590782680842</v>
      </c>
      <c r="B79">
        <f t="shared" ca="1" si="3"/>
        <v>191.91327661390625</v>
      </c>
    </row>
    <row r="80" spans="1:2" x14ac:dyDescent="0.25">
      <c r="A80">
        <f t="shared" ca="1" si="2"/>
        <v>182.0559839578917</v>
      </c>
      <c r="B80">
        <f t="shared" ca="1" si="3"/>
        <v>194.98091492218569</v>
      </c>
    </row>
    <row r="81" spans="1:2" x14ac:dyDescent="0.25">
      <c r="A81">
        <f t="shared" ca="1" si="2"/>
        <v>181.04385827321272</v>
      </c>
      <c r="B81">
        <f t="shared" ca="1" si="3"/>
        <v>190.04213760853753</v>
      </c>
    </row>
    <row r="82" spans="1:2" x14ac:dyDescent="0.25">
      <c r="A82">
        <f t="shared" ca="1" si="2"/>
        <v>171.03725275888556</v>
      </c>
      <c r="B82">
        <f t="shared" ca="1" si="3"/>
        <v>192.19539907864194</v>
      </c>
    </row>
    <row r="83" spans="1:2" x14ac:dyDescent="0.25">
      <c r="A83">
        <f t="shared" ca="1" si="2"/>
        <v>184.60343586909403</v>
      </c>
      <c r="B83">
        <f t="shared" ca="1" si="3"/>
        <v>191.37987741421125</v>
      </c>
    </row>
    <row r="84" spans="1:2" x14ac:dyDescent="0.25">
      <c r="A84">
        <f t="shared" ca="1" si="2"/>
        <v>177.67576921646318</v>
      </c>
      <c r="B84">
        <f t="shared" ca="1" si="3"/>
        <v>197.09559122437238</v>
      </c>
    </row>
    <row r="85" spans="1:2" x14ac:dyDescent="0.25">
      <c r="A85">
        <f t="shared" ca="1" si="2"/>
        <v>167.74049552933769</v>
      </c>
      <c r="B85">
        <f t="shared" ca="1" si="3"/>
        <v>186.86023206428709</v>
      </c>
    </row>
    <row r="86" spans="1:2" x14ac:dyDescent="0.25">
      <c r="A86">
        <f t="shared" ca="1" si="2"/>
        <v>185.31303233920545</v>
      </c>
      <c r="B86">
        <f t="shared" ca="1" si="3"/>
        <v>205.89189034123049</v>
      </c>
    </row>
    <row r="87" spans="1:2" x14ac:dyDescent="0.25">
      <c r="A87">
        <f t="shared" ca="1" si="2"/>
        <v>174.53262393927002</v>
      </c>
      <c r="B87">
        <f t="shared" ca="1" si="3"/>
        <v>188.34916091651473</v>
      </c>
    </row>
    <row r="88" spans="1:2" x14ac:dyDescent="0.25">
      <c r="A88">
        <f t="shared" ca="1" si="2"/>
        <v>177.11948053182752</v>
      </c>
      <c r="B88">
        <f t="shared" ca="1" si="3"/>
        <v>191.60574137519822</v>
      </c>
    </row>
    <row r="89" spans="1:2" x14ac:dyDescent="0.25">
      <c r="A89">
        <f t="shared" ca="1" si="2"/>
        <v>189.98481425272644</v>
      </c>
      <c r="B89">
        <f t="shared" ca="1" si="3"/>
        <v>200.42476932471004</v>
      </c>
    </row>
    <row r="90" spans="1:2" x14ac:dyDescent="0.25">
      <c r="A90">
        <f t="shared" ca="1" si="2"/>
        <v>177.87573796224552</v>
      </c>
      <c r="B90">
        <f t="shared" ca="1" si="3"/>
        <v>194.70322575739669</v>
      </c>
    </row>
    <row r="91" spans="1:2" x14ac:dyDescent="0.25">
      <c r="A91">
        <f t="shared" ca="1" si="2"/>
        <v>183.95618537371337</v>
      </c>
      <c r="B91">
        <f t="shared" ca="1" si="3"/>
        <v>191.37747371929305</v>
      </c>
    </row>
    <row r="92" spans="1:2" x14ac:dyDescent="0.25">
      <c r="A92">
        <f t="shared" ca="1" si="2"/>
        <v>172.88206093203331</v>
      </c>
      <c r="B92">
        <f t="shared" ca="1" si="3"/>
        <v>187.19905890666297</v>
      </c>
    </row>
    <row r="93" spans="1:2" x14ac:dyDescent="0.25">
      <c r="A93">
        <f t="shared" ca="1" si="2"/>
        <v>176.00647591840044</v>
      </c>
      <c r="B93">
        <f t="shared" ca="1" si="3"/>
        <v>192.63914786123658</v>
      </c>
    </row>
    <row r="94" spans="1:2" x14ac:dyDescent="0.25">
      <c r="A94">
        <f t="shared" ca="1" si="2"/>
        <v>179.67795845749572</v>
      </c>
      <c r="B94">
        <f t="shared" ca="1" si="3"/>
        <v>192.16207411780303</v>
      </c>
    </row>
    <row r="95" spans="1:2" x14ac:dyDescent="0.25">
      <c r="A95">
        <f t="shared" ca="1" si="2"/>
        <v>169.69276267415046</v>
      </c>
      <c r="B95">
        <f t="shared" ca="1" si="3"/>
        <v>173.57682777553217</v>
      </c>
    </row>
    <row r="96" spans="1:2" x14ac:dyDescent="0.25">
      <c r="A96">
        <f t="shared" ca="1" si="2"/>
        <v>181.0771741669187</v>
      </c>
      <c r="B96">
        <f t="shared" ca="1" si="3"/>
        <v>197.77017520499516</v>
      </c>
    </row>
    <row r="97" spans="1:2" x14ac:dyDescent="0.25">
      <c r="A97">
        <f t="shared" ca="1" si="2"/>
        <v>184.29529110495449</v>
      </c>
      <c r="B97">
        <f t="shared" ca="1" si="3"/>
        <v>196.64642828966356</v>
      </c>
    </row>
    <row r="98" spans="1:2" x14ac:dyDescent="0.25">
      <c r="A98">
        <f t="shared" ca="1" si="2"/>
        <v>185.72471737575674</v>
      </c>
      <c r="B98">
        <f t="shared" ca="1" si="3"/>
        <v>201.29640821996881</v>
      </c>
    </row>
    <row r="99" spans="1:2" x14ac:dyDescent="0.25">
      <c r="A99">
        <f t="shared" ca="1" si="2"/>
        <v>181.46628174514095</v>
      </c>
      <c r="B99">
        <f t="shared" ca="1" si="3"/>
        <v>188.0315575466438</v>
      </c>
    </row>
    <row r="100" spans="1:2" x14ac:dyDescent="0.25">
      <c r="A100">
        <f t="shared" ca="1" si="2"/>
        <v>187.11803594930018</v>
      </c>
      <c r="B100">
        <f t="shared" ca="1" si="3"/>
        <v>205.18337671708608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 issues</vt:lpstr>
      <vt:lpstr>1 outlier</vt:lpstr>
      <vt:lpstr>trend</vt:lpstr>
      <vt:lpstr>scatterplot outlier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Herbert E. Brown</dc:creator>
  <cp:lastModifiedBy>Herbert</cp:lastModifiedBy>
  <dcterms:created xsi:type="dcterms:W3CDTF">2021-08-26T12:32:22Z</dcterms:created>
  <dcterms:modified xsi:type="dcterms:W3CDTF">2025-10-03T14:11:20Z</dcterms:modified>
</cp:coreProperties>
</file>