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TU Stuff\Notes\Financial Modeling\"/>
    </mc:Choice>
  </mc:AlternateContent>
  <xr:revisionPtr revIDLastSave="0" documentId="13_ncr:1_{EDE6AD6A-3478-4C49-BF83-9519216EC2BD}" xr6:coauthVersionLast="47" xr6:coauthVersionMax="47" xr10:uidLastSave="{00000000-0000-0000-0000-000000000000}"/>
  <bookViews>
    <workbookView xWindow="14295" yWindow="0" windowWidth="14610" windowHeight="17385" activeTab="1" xr2:uid="{CE9939F7-F0F2-4C67-8DD1-98625C6FF9E9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2" l="1"/>
  <c r="C15" i="2" s="1"/>
  <c r="E5" i="2"/>
  <c r="E4" i="2"/>
  <c r="F5" i="1"/>
  <c r="C10" i="1" l="1"/>
  <c r="C11" i="1"/>
  <c r="C12" i="1"/>
  <c r="C13" i="1"/>
  <c r="C14" i="1"/>
  <c r="C6" i="1"/>
  <c r="C7" i="1"/>
  <c r="C8" i="1"/>
  <c r="C9" i="1"/>
  <c r="C5" i="1"/>
  <c r="F4" i="1" l="1"/>
</calcChain>
</file>

<file path=xl/sharedStrings.xml><?xml version="1.0" encoding="utf-8"?>
<sst xmlns="http://schemas.openxmlformats.org/spreadsheetml/2006/main" count="13" uniqueCount="13">
  <si>
    <t>discount rate</t>
  </si>
  <si>
    <t>yr</t>
  </si>
  <si>
    <t>cash flow</t>
  </si>
  <si>
    <t>pv</t>
  </si>
  <si>
    <t>sum</t>
  </si>
  <si>
    <t>excel npv</t>
  </si>
  <si>
    <t>Year</t>
  </si>
  <si>
    <t>Cash Flow</t>
  </si>
  <si>
    <t>Discount</t>
  </si>
  <si>
    <t>npv</t>
  </si>
  <si>
    <t xml:space="preserve">Buy? </t>
  </si>
  <si>
    <t>IRR</t>
  </si>
  <si>
    <t>guess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</si>
</sst>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">
    <xf numFmtId="0" fontId="0" fillId="0" borderId="0" xfId="0"/>
    <xf numFmtId="9" fontId="0" fillId="0" borderId="0" xfId="0" applyNumberFormat="1"/>
    <xf numFmtId="43" fontId="0" fillId="0" borderId="0" xfId="1" applyFont="1"/>
    <xf numFmtId="43" fontId="0" fillId="0" borderId="0" xfId="0" applyNumberFormat="1"/>
    <xf numFmtId="8" fontId="0" fillId="0" borderId="0" xfId="0" applyNumberFormat="1"/>
    <xf numFmtId="44" fontId="0" fillId="0" borderId="0" xfId="2" applyFont="1"/>
    <xf numFmtId="2" fontId="0" fillId="0" borderId="0" xfId="2" applyNumberFormat="1" applyFont="1"/>
    <xf numFmtId="10" fontId="0" fillId="0" borderId="0" xfId="3" applyNumberFormat="1" applyFont="1"/>
    <xf numFmtId="44" fontId="0" fillId="0" borderId="0" xfId="0" applyNumberForma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C67C3-201C-4081-9CAA-E4BA295DCF8E}">
  <dimension ref="A2:F14"/>
  <sheetViews>
    <sheetView workbookViewId="0">
      <selection activeCell="F5" sqref="F5"/>
    </sheetView>
  </sheetViews>
  <sheetFormatPr defaultRowHeight="15" x14ac:dyDescent="0.25"/>
  <cols>
    <col min="1" max="1" width="12.5703125" bestFit="1" customWidth="1"/>
    <col min="3" max="3" width="9.85546875" bestFit="1" customWidth="1"/>
    <col min="5" max="5" width="9" bestFit="1" customWidth="1"/>
    <col min="6" max="6" width="9.85546875" bestFit="1" customWidth="1"/>
  </cols>
  <sheetData>
    <row r="2" spans="1:6" x14ac:dyDescent="0.25">
      <c r="A2" t="s">
        <v>0</v>
      </c>
      <c r="B2" s="1">
        <v>0.19538196391041665</v>
      </c>
    </row>
    <row r="3" spans="1:6" x14ac:dyDescent="0.25">
      <c r="A3" t="s">
        <v>1</v>
      </c>
      <c r="B3" t="s">
        <v>2</v>
      </c>
      <c r="C3" t="s">
        <v>3</v>
      </c>
    </row>
    <row r="4" spans="1:6" x14ac:dyDescent="0.25">
      <c r="A4">
        <v>0</v>
      </c>
      <c r="B4">
        <v>-800</v>
      </c>
      <c r="E4" t="s">
        <v>4</v>
      </c>
      <c r="F4" s="3">
        <f>SUM(C5:C9)</f>
        <v>47.102617392898281</v>
      </c>
    </row>
    <row r="5" spans="1:6" x14ac:dyDescent="0.25">
      <c r="A5">
        <v>1</v>
      </c>
      <c r="B5">
        <v>100</v>
      </c>
      <c r="C5" s="2">
        <f>B4/(1+$B$2)^A5</f>
        <v>-669.24215368197827</v>
      </c>
      <c r="E5" t="s">
        <v>5</v>
      </c>
      <c r="F5" s="4">
        <f>NPV(B2,B5:B9)+B4</f>
        <v>4.0285123873218254E-5</v>
      </c>
    </row>
    <row r="6" spans="1:6" x14ac:dyDescent="0.25">
      <c r="A6">
        <v>2</v>
      </c>
      <c r="B6">
        <v>200</v>
      </c>
      <c r="C6" s="2">
        <f t="shared" ref="C6:C14" si="0">B6/(1+$B$2)^A6</f>
        <v>139.96408133277893</v>
      </c>
    </row>
    <row r="7" spans="1:6" x14ac:dyDescent="0.25">
      <c r="A7">
        <v>3</v>
      </c>
      <c r="B7">
        <v>300</v>
      </c>
      <c r="C7" s="2">
        <f t="shared" si="0"/>
        <v>175.6309935548785</v>
      </c>
    </row>
    <row r="8" spans="1:6" x14ac:dyDescent="0.25">
      <c r="A8">
        <v>4</v>
      </c>
      <c r="B8">
        <v>400</v>
      </c>
      <c r="C8" s="2">
        <f t="shared" si="0"/>
        <v>195.89944063328755</v>
      </c>
    </row>
    <row r="9" spans="1:6" x14ac:dyDescent="0.25">
      <c r="A9">
        <v>5</v>
      </c>
      <c r="B9">
        <v>500</v>
      </c>
      <c r="C9" s="2">
        <f t="shared" si="0"/>
        <v>204.85025555393153</v>
      </c>
    </row>
    <row r="10" spans="1:6" x14ac:dyDescent="0.25">
      <c r="A10">
        <v>6</v>
      </c>
      <c r="C10" s="2">
        <f>B10/(1+$B$2)^A10</f>
        <v>0</v>
      </c>
    </row>
    <row r="11" spans="1:6" x14ac:dyDescent="0.25">
      <c r="A11">
        <v>7</v>
      </c>
      <c r="C11" s="2">
        <f t="shared" si="0"/>
        <v>0</v>
      </c>
    </row>
    <row r="12" spans="1:6" x14ac:dyDescent="0.25">
      <c r="A12">
        <v>8</v>
      </c>
      <c r="C12" s="2">
        <f t="shared" si="0"/>
        <v>0</v>
      </c>
    </row>
    <row r="13" spans="1:6" x14ac:dyDescent="0.25">
      <c r="A13">
        <v>9</v>
      </c>
      <c r="C13" s="2">
        <f t="shared" si="0"/>
        <v>0</v>
      </c>
    </row>
    <row r="14" spans="1:6" x14ac:dyDescent="0.25">
      <c r="A14">
        <v>10</v>
      </c>
      <c r="C14" s="2">
        <f t="shared" si="0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3592E-45A4-4273-BECF-C01E5B93A692}">
  <dimension ref="A1:E15"/>
  <sheetViews>
    <sheetView tabSelected="1" workbookViewId="0">
      <selection activeCell="H21" sqref="H21"/>
    </sheetView>
  </sheetViews>
  <sheetFormatPr defaultRowHeight="15" x14ac:dyDescent="0.25"/>
  <cols>
    <col min="2" max="2" width="11.28515625" bestFit="1" customWidth="1"/>
    <col min="5" max="5" width="20.42578125" bestFit="1" customWidth="1"/>
  </cols>
  <sheetData>
    <row r="1" spans="1:5" x14ac:dyDescent="0.25">
      <c r="A1" t="s">
        <v>6</v>
      </c>
      <c r="B1" t="s">
        <v>7</v>
      </c>
    </row>
    <row r="2" spans="1:5" x14ac:dyDescent="0.25">
      <c r="A2">
        <v>0</v>
      </c>
      <c r="B2" s="5">
        <v>-500</v>
      </c>
      <c r="D2" t="s">
        <v>8</v>
      </c>
      <c r="E2" s="1">
        <v>0.08</v>
      </c>
    </row>
    <row r="3" spans="1:5" x14ac:dyDescent="0.25">
      <c r="A3">
        <v>1</v>
      </c>
      <c r="B3" s="5">
        <v>600</v>
      </c>
    </row>
    <row r="4" spans="1:5" x14ac:dyDescent="0.25">
      <c r="A4">
        <v>2</v>
      </c>
      <c r="B4" s="5">
        <v>300</v>
      </c>
      <c r="D4" t="s">
        <v>9</v>
      </c>
      <c r="E4" s="6">
        <f>NPV(0.08, B3:B12) + B2</f>
        <v>17.329647477679032</v>
      </c>
    </row>
    <row r="5" spans="1:5" x14ac:dyDescent="0.25">
      <c r="A5">
        <v>3</v>
      </c>
      <c r="B5" s="5">
        <v>300</v>
      </c>
      <c r="D5" t="s">
        <v>10</v>
      </c>
      <c r="E5" t="str">
        <f>IF(E4&gt;0,"buy","don't")</f>
        <v>buy</v>
      </c>
    </row>
    <row r="6" spans="1:5" x14ac:dyDescent="0.25">
      <c r="A6">
        <v>4</v>
      </c>
      <c r="B6" s="5">
        <v>200</v>
      </c>
    </row>
    <row r="7" spans="1:5" x14ac:dyDescent="0.25">
      <c r="A7">
        <v>5</v>
      </c>
      <c r="B7" s="5">
        <v>-1000</v>
      </c>
      <c r="D7" t="s">
        <v>11</v>
      </c>
      <c r="E7" s="7">
        <f>IRR(B2:B7,E8)</f>
        <v>0.60195607653711836</v>
      </c>
    </row>
    <row r="8" spans="1:5" x14ac:dyDescent="0.25">
      <c r="A8">
        <v>6</v>
      </c>
      <c r="B8" s="5"/>
      <c r="D8" t="s">
        <v>12</v>
      </c>
      <c r="E8">
        <v>0.5</v>
      </c>
    </row>
    <row r="9" spans="1:5" x14ac:dyDescent="0.25">
      <c r="A9">
        <v>7</v>
      </c>
      <c r="B9" s="5"/>
    </row>
    <row r="10" spans="1:5" x14ac:dyDescent="0.25">
      <c r="A10">
        <v>8</v>
      </c>
      <c r="B10" s="5"/>
    </row>
    <row r="11" spans="1:5" x14ac:dyDescent="0.25">
      <c r="A11">
        <v>9</v>
      </c>
      <c r="B11" s="5"/>
    </row>
    <row r="12" spans="1:5" x14ac:dyDescent="0.25">
      <c r="A12">
        <v>10</v>
      </c>
      <c r="B12" s="5"/>
    </row>
    <row r="15" spans="1:5" x14ac:dyDescent="0.25">
      <c r="C15" s="8">
        <f>NPV(E7,B3:B7)+B2</f>
        <v>1.1368683772161603E-12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Tyler Parker</dc:creator>
  <cp:lastModifiedBy>Tyler Parker</cp:lastModifiedBy>
  <dcterms:created xsi:type="dcterms:W3CDTF">2026-01-14T21:06:27Z</dcterms:created>
  <dcterms:modified xsi:type="dcterms:W3CDTF">2026-01-16T17:57:06Z</dcterms:modified>
</cp:coreProperties>
</file>