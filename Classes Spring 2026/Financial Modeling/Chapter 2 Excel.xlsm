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ofka\Google Drive\My books\FM\FM5\Section 1 - Corporate finance\Chapter 02 - Valuation based on consolidated\"/>
    </mc:Choice>
  </mc:AlternateContent>
  <xr:revisionPtr revIDLastSave="0" documentId="13_ncr:1_{A0784DB0-3342-4660-A553-ED5014AA1CEF}" xr6:coauthVersionLast="45" xr6:coauthVersionMax="45" xr10:uidLastSave="{00000000-0000-0000-0000-000000000000}"/>
  <bookViews>
    <workbookView xWindow="-19310" yWindow="11890" windowWidth="19420" windowHeight="10560" firstSheet="9" activeTab="12" xr2:uid="{00000000-000D-0000-FFFF-FFFF00000000}"/>
  </bookViews>
  <sheets>
    <sheet name="Balance sheet" sheetId="15" r:id="rId1"/>
    <sheet name="Balance sheet categorized" sheetId="45" r:id="rId2"/>
    <sheet name="Operational balance sheet" sheetId="46" r:id="rId3"/>
    <sheet name="CAT balance sheet 2019" sheetId="40" r:id="rId4"/>
    <sheet name="CAT oper. balance sheet" sheetId="47" r:id="rId5"/>
    <sheet name="EV using eff. market approach" sheetId="44" r:id="rId6"/>
    <sheet name="Efficient approach to specific" sheetId="43" r:id="rId7"/>
    <sheet name="DE financials 2019" sheetId="48" r:id="rId8"/>
    <sheet name="DE operational BS 2019" sheetId="50" r:id="rId9"/>
    <sheet name="Statement of CF, ABC corp" sheetId="37" r:id="rId10"/>
    <sheet name="CSCF valuation" sheetId="38" r:id="rId11"/>
    <sheet name="FCF, ABC corp" sheetId="39" r:id="rId12"/>
    <sheet name="Proforma Model" sheetId="36" r:id="rId13"/>
  </sheets>
  <functionGroups builtInGroupCount="19"/>
  <definedNames>
    <definedName name="bal_fi" localSheetId="7">'DE financials 2019'!#REF!</definedName>
    <definedName name="bal_fi" localSheetId="8">'DE operational BS 2019'!#REF!</definedName>
    <definedName name="cas_fk" localSheetId="7">'DE financials 2019'!#REF!</definedName>
    <definedName name="cas_fk" localSheetId="8">'DE operational BS 2019'!#REF!</definedName>
    <definedName name="com_fg" localSheetId="7">'DE financials 2019'!#REF!</definedName>
    <definedName name="com_fg" localSheetId="8">'DE operational BS 2019'!#REF!</definedName>
    <definedName name="page_fg14602_1_30" localSheetId="7">'DE financials 2019'!#REF!</definedName>
    <definedName name="page_fg14602_1_30" localSheetId="8">'DE operational BS 2019'!#REF!</definedName>
    <definedName name="page_fi14602_1_31" localSheetId="7">'DE financials 2019'!#REF!</definedName>
    <definedName name="page_fi14602_1_31" localSheetId="8">'DE operational BS 2019'!#REF!</definedName>
    <definedName name="page_fk14602_1_32" localSheetId="7">'DE financials 2019'!#REF!</definedName>
    <definedName name="page_fk14602_1_32" localSheetId="8">'DE operational BS 2019'!#REF!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45" i="50" l="1"/>
  <c r="A42" i="50"/>
  <c r="A41" i="50"/>
  <c r="D8" i="50"/>
  <c r="D7" i="50"/>
  <c r="D7" i="47"/>
  <c r="D3" i="47"/>
  <c r="B45" i="50" l="1"/>
  <c r="B44" i="50"/>
  <c r="B43" i="50"/>
  <c r="B42" i="50"/>
  <c r="B41" i="50"/>
  <c r="A34" i="50"/>
  <c r="C27" i="50"/>
  <c r="C29" i="50"/>
  <c r="C28" i="50"/>
  <c r="C26" i="50"/>
  <c r="C25" i="50"/>
  <c r="B25" i="50"/>
  <c r="B26" i="50"/>
  <c r="B27" i="50"/>
  <c r="B28" i="50"/>
  <c r="B29" i="50"/>
  <c r="A28" i="50"/>
  <c r="A36" i="50" s="1"/>
  <c r="A27" i="50"/>
  <c r="A35" i="50" s="1"/>
  <c r="A26" i="50"/>
  <c r="A25" i="50"/>
  <c r="A33" i="50" s="1"/>
  <c r="B3" i="50"/>
  <c r="D6" i="50"/>
  <c r="E8" i="50"/>
  <c r="E7" i="50"/>
  <c r="E6" i="50"/>
  <c r="E5" i="50"/>
  <c r="E4" i="50"/>
  <c r="E3" i="50"/>
  <c r="D5" i="50"/>
  <c r="D4" i="50"/>
  <c r="D3" i="50"/>
  <c r="A9" i="50"/>
  <c r="B5" i="50"/>
  <c r="B4" i="50"/>
  <c r="A3" i="50"/>
  <c r="B28" i="48"/>
  <c r="B27" i="48"/>
  <c r="B25" i="48" s="1"/>
  <c r="B22" i="48"/>
  <c r="B23" i="48"/>
  <c r="A22" i="48"/>
  <c r="B19" i="48"/>
  <c r="E10" i="48"/>
  <c r="E19" i="48" s="1"/>
  <c r="C35" i="50"/>
  <c r="C36" i="50"/>
  <c r="C6" i="50"/>
  <c r="C44" i="50"/>
  <c r="F21" i="50"/>
  <c r="F10" i="48"/>
  <c r="F17" i="50"/>
  <c r="C37" i="50"/>
  <c r="F9" i="50"/>
  <c r="C34" i="50"/>
  <c r="F10" i="50"/>
  <c r="C45" i="50"/>
  <c r="C21" i="50"/>
  <c r="C43" i="50"/>
  <c r="F12" i="50"/>
  <c r="C19" i="50"/>
  <c r="C12" i="50"/>
  <c r="C19" i="48"/>
  <c r="C42" i="50"/>
  <c r="B24" i="48" l="1"/>
  <c r="B7" i="43"/>
  <c r="B8" i="43"/>
  <c r="A7" i="43"/>
  <c r="A8" i="43"/>
  <c r="B10" i="43"/>
  <c r="A10" i="43"/>
  <c r="D2" i="43"/>
  <c r="E2" i="43"/>
  <c r="D3" i="43"/>
  <c r="E3" i="43"/>
  <c r="D4" i="43"/>
  <c r="E4" i="43"/>
  <c r="B7" i="44"/>
  <c r="A7" i="44"/>
  <c r="E7" i="44"/>
  <c r="E6" i="47"/>
  <c r="E10" i="47"/>
  <c r="E3" i="47"/>
  <c r="E7" i="47"/>
  <c r="E4" i="47"/>
  <c r="E5" i="47"/>
  <c r="E8" i="47"/>
  <c r="E9" i="47"/>
  <c r="D9" i="47"/>
  <c r="D8" i="47"/>
  <c r="D5" i="47"/>
  <c r="E11" i="40"/>
  <c r="D11" i="40"/>
  <c r="D4" i="47"/>
  <c r="E10" i="40"/>
  <c r="B29" i="47" s="1"/>
  <c r="B28" i="47"/>
  <c r="A28" i="47"/>
  <c r="A26" i="47"/>
  <c r="A21" i="47"/>
  <c r="B3" i="47"/>
  <c r="D23" i="40"/>
  <c r="E21" i="40"/>
  <c r="D21" i="40"/>
  <c r="D17" i="40"/>
  <c r="E17" i="40"/>
  <c r="D18" i="40"/>
  <c r="E18" i="40"/>
  <c r="D19" i="40"/>
  <c r="D14" i="40"/>
  <c r="E15" i="40"/>
  <c r="E16" i="40"/>
  <c r="D16" i="40"/>
  <c r="D15" i="40"/>
  <c r="D6" i="47" s="1"/>
  <c r="D10" i="40"/>
  <c r="A29" i="47" s="1"/>
  <c r="E4" i="40"/>
  <c r="B25" i="47" s="1"/>
  <c r="E5" i="40"/>
  <c r="B26" i="47" s="1"/>
  <c r="E6" i="40"/>
  <c r="B27" i="47" s="1"/>
  <c r="E7" i="40"/>
  <c r="E8" i="40"/>
  <c r="E9" i="40"/>
  <c r="D9" i="40"/>
  <c r="D7" i="40"/>
  <c r="D8" i="40"/>
  <c r="D4" i="40"/>
  <c r="A25" i="47" s="1"/>
  <c r="D5" i="40"/>
  <c r="D6" i="40"/>
  <c r="A27" i="47" s="1"/>
  <c r="A15" i="40"/>
  <c r="A24" i="47" s="1"/>
  <c r="B12" i="40"/>
  <c r="B13" i="40"/>
  <c r="B22" i="47" s="1"/>
  <c r="B14" i="40"/>
  <c r="B23" i="47" s="1"/>
  <c r="B15" i="40"/>
  <c r="B24" i="47" s="1"/>
  <c r="B16" i="40"/>
  <c r="B5" i="47" s="1"/>
  <c r="B17" i="40"/>
  <c r="B18" i="40"/>
  <c r="B8" i="47" s="1"/>
  <c r="A13" i="40"/>
  <c r="A22" i="47" s="1"/>
  <c r="A14" i="40"/>
  <c r="A23" i="47" s="1"/>
  <c r="A16" i="40"/>
  <c r="A17" i="40"/>
  <c r="A18" i="40"/>
  <c r="A8" i="47" s="1"/>
  <c r="A12" i="40"/>
  <c r="A3" i="47" s="1"/>
  <c r="A8" i="40"/>
  <c r="A20" i="47" s="1"/>
  <c r="B6" i="40"/>
  <c r="B18" i="47" s="1"/>
  <c r="B7" i="40"/>
  <c r="B19" i="47" s="1"/>
  <c r="B8" i="40"/>
  <c r="B20" i="47" s="1"/>
  <c r="B9" i="40"/>
  <c r="B21" i="47" s="1"/>
  <c r="B5" i="40"/>
  <c r="A6" i="40"/>
  <c r="A18" i="47" s="1"/>
  <c r="A7" i="40"/>
  <c r="A19" i="47" s="1"/>
  <c r="A9" i="40"/>
  <c r="A10" i="40"/>
  <c r="A5" i="40"/>
  <c r="C12" i="43"/>
  <c r="C9" i="43"/>
  <c r="A3" i="44"/>
  <c r="C24" i="48"/>
  <c r="C6" i="43"/>
  <c r="E12" i="40" l="1"/>
  <c r="E19" i="40" s="1"/>
  <c r="E23" i="40" s="1"/>
  <c r="B30" i="47"/>
  <c r="E18" i="46"/>
  <c r="C16" i="38"/>
  <c r="C50" i="50"/>
  <c r="H9" i="38"/>
  <c r="H8" i="38"/>
  <c r="C41" i="50"/>
  <c r="C12" i="38"/>
  <c r="C46" i="50"/>
  <c r="C15" i="38"/>
  <c r="H10" i="38"/>
  <c r="B56" i="36" l="1"/>
  <c r="C7" i="38"/>
  <c r="D7" i="38" s="1"/>
  <c r="E7" i="38" s="1"/>
  <c r="F7" i="38" s="1"/>
  <c r="G7" i="38" s="1"/>
  <c r="H48" i="36"/>
  <c r="H40" i="36"/>
  <c r="H30" i="36"/>
  <c r="H46" i="36"/>
  <c r="H18" i="36"/>
  <c r="H34" i="36"/>
  <c r="H15" i="36"/>
  <c r="H62" i="36"/>
  <c r="H50" i="36"/>
  <c r="H41" i="36"/>
  <c r="A21" i="38"/>
  <c r="H17" i="36"/>
  <c r="H23" i="36"/>
  <c r="H60" i="36"/>
  <c r="H39" i="36"/>
  <c r="H22" i="36"/>
  <c r="H20" i="36"/>
  <c r="H35" i="36"/>
  <c r="H19" i="36"/>
  <c r="H49" i="36"/>
  <c r="H29" i="36"/>
  <c r="H32" i="36"/>
  <c r="H25" i="36"/>
  <c r="H47" i="36"/>
  <c r="H52" i="36"/>
  <c r="H37" i="36"/>
  <c r="H24" i="36"/>
  <c r="H38" i="36"/>
  <c r="H16" i="36"/>
  <c r="H45" i="36"/>
  <c r="H33" i="36"/>
  <c r="H51" i="36"/>
  <c r="H21" i="36"/>
  <c r="F35" i="39" l="1"/>
  <c r="E35" i="39"/>
  <c r="D35" i="39"/>
  <c r="C35" i="39"/>
  <c r="B35" i="39"/>
  <c r="F34" i="39"/>
  <c r="E34" i="39"/>
  <c r="D34" i="39"/>
  <c r="C34" i="39"/>
  <c r="B34" i="39"/>
  <c r="C16" i="39"/>
  <c r="D16" i="39"/>
  <c r="E16" i="39"/>
  <c r="F16" i="39"/>
  <c r="F18" i="39" s="1"/>
  <c r="C17" i="39"/>
  <c r="D17" i="39"/>
  <c r="D18" i="39" s="1"/>
  <c r="E17" i="39"/>
  <c r="F17" i="39"/>
  <c r="B17" i="39"/>
  <c r="B18" i="39" s="1"/>
  <c r="B16" i="39"/>
  <c r="C6" i="39"/>
  <c r="D6" i="39"/>
  <c r="E6" i="39"/>
  <c r="F6" i="39"/>
  <c r="C8" i="39"/>
  <c r="D8" i="39"/>
  <c r="E8" i="39"/>
  <c r="F8" i="39"/>
  <c r="C9" i="39"/>
  <c r="D9" i="39"/>
  <c r="E9" i="39"/>
  <c r="F9" i="39"/>
  <c r="C10" i="39"/>
  <c r="D10" i="39"/>
  <c r="E10" i="39"/>
  <c r="F10" i="39"/>
  <c r="C11" i="39"/>
  <c r="D11" i="39"/>
  <c r="E11" i="39"/>
  <c r="F11" i="39"/>
  <c r="B9" i="39"/>
  <c r="B10" i="39"/>
  <c r="B11" i="39"/>
  <c r="B8" i="39"/>
  <c r="B6" i="39"/>
  <c r="C4" i="39"/>
  <c r="D4" i="39"/>
  <c r="E4" i="39"/>
  <c r="E12" i="39" s="1"/>
  <c r="F4" i="39"/>
  <c r="B4" i="39"/>
  <c r="B2" i="39"/>
  <c r="F18" i="37"/>
  <c r="E18" i="37"/>
  <c r="D18" i="37"/>
  <c r="C18" i="37"/>
  <c r="B18" i="37"/>
  <c r="C2" i="37"/>
  <c r="C2" i="39" s="1"/>
  <c r="C18" i="39" l="1"/>
  <c r="F12" i="39"/>
  <c r="E18" i="39"/>
  <c r="D12" i="39"/>
  <c r="D2" i="37"/>
  <c r="C12" i="39"/>
  <c r="E17" i="50"/>
  <c r="E20" i="50" s="1"/>
  <c r="C33" i="50"/>
  <c r="E2" i="37" l="1"/>
  <c r="D2" i="39"/>
  <c r="B9" i="50"/>
  <c r="B20" i="50" s="1"/>
  <c r="A28" i="48"/>
  <c r="A29" i="50" s="1"/>
  <c r="A37" i="50" s="1"/>
  <c r="F2" i="37" l="1"/>
  <c r="F2" i="39" s="1"/>
  <c r="E2" i="39"/>
  <c r="B6" i="50"/>
  <c r="B12" i="50" s="1"/>
  <c r="E9" i="50"/>
  <c r="E19" i="50" s="1"/>
  <c r="E21" i="50" s="1"/>
  <c r="B21" i="50" s="1"/>
  <c r="B19" i="50" s="1"/>
  <c r="E10" i="43"/>
  <c r="E4" i="44"/>
  <c r="B34" i="50" l="1"/>
  <c r="B33" i="50"/>
  <c r="B37" i="50"/>
  <c r="B36" i="50"/>
  <c r="B35" i="50"/>
  <c r="E10" i="50"/>
  <c r="D10" i="47"/>
  <c r="E12" i="50" l="1"/>
  <c r="A20" i="50"/>
  <c r="B46" i="50"/>
  <c r="B48" i="50"/>
  <c r="B4" i="47"/>
  <c r="E11" i="47"/>
  <c r="B49" i="50" s="1"/>
  <c r="B7" i="46"/>
  <c r="A7" i="46"/>
  <c r="B6" i="46"/>
  <c r="A6" i="46"/>
  <c r="B9" i="45"/>
  <c r="B10" i="45"/>
  <c r="B11" i="45"/>
  <c r="A10" i="45"/>
  <c r="A11" i="45"/>
  <c r="A9" i="45"/>
  <c r="E18" i="45"/>
  <c r="E19" i="45"/>
  <c r="D19" i="45"/>
  <c r="D20" i="45"/>
  <c r="D18" i="45"/>
  <c r="E9" i="45"/>
  <c r="E10" i="45"/>
  <c r="E11" i="45"/>
  <c r="E12" i="45"/>
  <c r="E13" i="45"/>
  <c r="E14" i="45"/>
  <c r="D14" i="45"/>
  <c r="D13" i="45"/>
  <c r="D12" i="45"/>
  <c r="D11" i="45"/>
  <c r="D10" i="45"/>
  <c r="D9" i="45"/>
  <c r="E5" i="45"/>
  <c r="B9" i="46" s="1"/>
  <c r="E4" i="45"/>
  <c r="E6" i="45" s="1"/>
  <c r="D5" i="45"/>
  <c r="D4" i="45"/>
  <c r="B21" i="45"/>
  <c r="B16" i="46" s="1"/>
  <c r="A21" i="45"/>
  <c r="B18" i="45"/>
  <c r="B12" i="46" s="1"/>
  <c r="A18" i="45"/>
  <c r="B15" i="45"/>
  <c r="B16" i="45"/>
  <c r="A16" i="45"/>
  <c r="A15" i="45"/>
  <c r="A8" i="45"/>
  <c r="B4" i="45"/>
  <c r="B5" i="45"/>
  <c r="A5" i="45"/>
  <c r="A4" i="45"/>
  <c r="B13" i="15"/>
  <c r="B19" i="15" s="1"/>
  <c r="D25" i="45"/>
  <c r="A25" i="45"/>
  <c r="D20" i="46"/>
  <c r="A22" i="46"/>
  <c r="A20" i="46"/>
  <c r="B10" i="40" l="1"/>
  <c r="B23" i="40" s="1"/>
  <c r="B50" i="50"/>
  <c r="E15" i="45"/>
  <c r="E4" i="46" s="1"/>
  <c r="B6" i="47"/>
  <c r="B10" i="47" s="1"/>
  <c r="E13" i="47" s="1"/>
  <c r="E15" i="47" s="1"/>
  <c r="B8" i="46"/>
  <c r="B10" i="46" s="1"/>
  <c r="B14" i="46" s="1"/>
  <c r="B18" i="46" s="1"/>
  <c r="B12" i="45"/>
  <c r="B3" i="46" s="1"/>
  <c r="E6" i="43"/>
  <c r="E12" i="43" s="1"/>
  <c r="B12" i="43" s="1"/>
  <c r="B9" i="43" s="1"/>
  <c r="E6" i="44"/>
  <c r="B6" i="45"/>
  <c r="B23" i="45" l="1"/>
  <c r="E5" i="46"/>
  <c r="E6" i="46" s="1"/>
  <c r="E11" i="46" s="1"/>
  <c r="B6" i="44"/>
  <c r="B9" i="44" s="1"/>
  <c r="E9" i="44"/>
  <c r="F37" i="39"/>
  <c r="F29" i="39" s="1"/>
  <c r="E37" i="39"/>
  <c r="E29" i="39" s="1"/>
  <c r="D37" i="39"/>
  <c r="D29" i="39" s="1"/>
  <c r="C37" i="39"/>
  <c r="C29" i="39" s="1"/>
  <c r="B37" i="39"/>
  <c r="B29" i="39" s="1"/>
  <c r="C28" i="39"/>
  <c r="B12" i="39"/>
  <c r="B28" i="39" s="1"/>
  <c r="F35" i="37"/>
  <c r="E35" i="37"/>
  <c r="D35" i="37"/>
  <c r="C35" i="37"/>
  <c r="B35" i="37"/>
  <c r="F26" i="37"/>
  <c r="E26" i="37"/>
  <c r="D26" i="37"/>
  <c r="C26" i="37"/>
  <c r="B26" i="37"/>
  <c r="F12" i="37"/>
  <c r="E12" i="37"/>
  <c r="D12" i="37"/>
  <c r="D28" i="37" s="1"/>
  <c r="C12" i="37"/>
  <c r="B12" i="37"/>
  <c r="B15" i="36"/>
  <c r="B19" i="36"/>
  <c r="C39" i="36"/>
  <c r="D39" i="36" s="1"/>
  <c r="E39" i="36" s="1"/>
  <c r="F39" i="36" s="1"/>
  <c r="G39" i="36" s="1"/>
  <c r="G28" i="39"/>
  <c r="G35" i="37"/>
  <c r="G12" i="39"/>
  <c r="G18" i="37"/>
  <c r="G29" i="39"/>
  <c r="C69" i="36"/>
  <c r="G18" i="39"/>
  <c r="H61" i="36"/>
  <c r="G37" i="39"/>
  <c r="G30" i="39"/>
  <c r="G26" i="37"/>
  <c r="G12" i="37"/>
  <c r="G28" i="37"/>
  <c r="C28" i="37" l="1"/>
  <c r="B28" i="37"/>
  <c r="B16" i="36"/>
  <c r="B17" i="36" s="1"/>
  <c r="B30" i="39"/>
  <c r="B2" i="38" s="1"/>
  <c r="C8" i="38" s="1"/>
  <c r="C10" i="38" s="1"/>
  <c r="E28" i="39"/>
  <c r="E30" i="39" s="1"/>
  <c r="F28" i="39"/>
  <c r="F30" i="39" s="1"/>
  <c r="D28" i="39"/>
  <c r="D30" i="39" s="1"/>
  <c r="B37" i="36"/>
  <c r="E28" i="37"/>
  <c r="B30" i="36"/>
  <c r="F28" i="37"/>
  <c r="C30" i="39"/>
  <c r="C15" i="36"/>
  <c r="C16" i="36" s="1"/>
  <c r="B34" i="36"/>
  <c r="B32" i="36" s="1"/>
  <c r="D8" i="38"/>
  <c r="D10" i="38" s="1"/>
  <c r="C37" i="36"/>
  <c r="A64" i="36"/>
  <c r="C64" i="36"/>
  <c r="C30" i="36" l="1"/>
  <c r="C47" i="36" s="1"/>
  <c r="C17" i="36"/>
  <c r="C48" i="36"/>
  <c r="C34" i="36"/>
  <c r="D15" i="36"/>
  <c r="E15" i="36" s="1"/>
  <c r="B35" i="36"/>
  <c r="B38" i="36" s="1"/>
  <c r="E8" i="38"/>
  <c r="E10" i="38" s="1"/>
  <c r="B65" i="36"/>
  <c r="C65" i="36"/>
  <c r="D34" i="36" l="1"/>
  <c r="E37" i="36"/>
  <c r="D16" i="36"/>
  <c r="D17" i="36" s="1"/>
  <c r="D30" i="36"/>
  <c r="D47" i="36" s="1"/>
  <c r="D37" i="36"/>
  <c r="D48" i="36" s="1"/>
  <c r="B18" i="36"/>
  <c r="B21" i="36" s="1"/>
  <c r="B22" i="36" s="1"/>
  <c r="B23" i="36" s="1"/>
  <c r="B24" i="36" s="1"/>
  <c r="B25" i="36" s="1"/>
  <c r="B41" i="36"/>
  <c r="C38" i="36"/>
  <c r="C18" i="36" s="1"/>
  <c r="C50" i="36" s="1"/>
  <c r="F15" i="36"/>
  <c r="E16" i="36"/>
  <c r="E17" i="36" s="1"/>
  <c r="E34" i="36"/>
  <c r="E30" i="36"/>
  <c r="F8" i="38"/>
  <c r="F10" i="38" s="1"/>
  <c r="C66" i="36"/>
  <c r="E47" i="36" l="1"/>
  <c r="F30" i="36"/>
  <c r="F47" i="36" s="1"/>
  <c r="E48" i="36"/>
  <c r="D38" i="36"/>
  <c r="G15" i="36"/>
  <c r="F16" i="36"/>
  <c r="F17" i="36" s="1"/>
  <c r="F37" i="36"/>
  <c r="F48" i="36" s="1"/>
  <c r="F34" i="36"/>
  <c r="G8" i="38"/>
  <c r="G9" i="38" s="1"/>
  <c r="G10" i="38" s="1"/>
  <c r="B67" i="36"/>
  <c r="C67" i="36"/>
  <c r="G16" i="36" l="1"/>
  <c r="G17" i="36" s="1"/>
  <c r="G37" i="36"/>
  <c r="G48" i="36" s="1"/>
  <c r="E38" i="36"/>
  <c r="F38" i="36" s="1"/>
  <c r="G38" i="36" s="1"/>
  <c r="D18" i="36"/>
  <c r="D50" i="36" s="1"/>
  <c r="G34" i="36"/>
  <c r="G30" i="36"/>
  <c r="G47" i="36" s="1"/>
  <c r="B12" i="38"/>
  <c r="C68" i="36"/>
  <c r="B15" i="38" l="1"/>
  <c r="B16" i="38" s="1"/>
  <c r="B21" i="38" s="1"/>
  <c r="G18" i="36"/>
  <c r="G50" i="36" s="1"/>
  <c r="F18" i="36"/>
  <c r="F50" i="36" s="1"/>
  <c r="E18" i="36"/>
  <c r="E50" i="36" s="1"/>
  <c r="E18" i="15" l="1"/>
  <c r="E19" i="15" l="1"/>
  <c r="E20" i="45"/>
  <c r="E21" i="45" s="1"/>
  <c r="E23" i="45" s="1"/>
  <c r="B6" i="43" l="1"/>
  <c r="C19" i="36"/>
  <c r="D19" i="36"/>
  <c r="E19" i="36"/>
  <c r="F19" i="36"/>
  <c r="G19" i="36"/>
  <c r="C20" i="36"/>
  <c r="D20" i="36"/>
  <c r="E20" i="36"/>
  <c r="F20" i="36"/>
  <c r="G20" i="36"/>
  <c r="C21" i="36"/>
  <c r="D21" i="36"/>
  <c r="E21" i="36"/>
  <c r="F21" i="36"/>
  <c r="G21" i="36"/>
  <c r="C22" i="36"/>
  <c r="D22" i="36"/>
  <c r="E22" i="36"/>
  <c r="F22" i="36"/>
  <c r="G22" i="36"/>
  <c r="C23" i="36"/>
  <c r="D23" i="36"/>
  <c r="E23" i="36"/>
  <c r="F23" i="36"/>
  <c r="G23" i="36"/>
  <c r="C24" i="36"/>
  <c r="D24" i="36"/>
  <c r="E24" i="36"/>
  <c r="F24" i="36"/>
  <c r="G24" i="36"/>
  <c r="C25" i="36"/>
  <c r="D25" i="36"/>
  <c r="E25" i="36"/>
  <c r="F25" i="36"/>
  <c r="G25" i="36"/>
  <c r="C29" i="36"/>
  <c r="D29" i="36"/>
  <c r="E29" i="36"/>
  <c r="F29" i="36"/>
  <c r="G29" i="36"/>
  <c r="C32" i="36"/>
  <c r="D32" i="36"/>
  <c r="E32" i="36"/>
  <c r="F32" i="36"/>
  <c r="G32" i="36"/>
  <c r="C33" i="36"/>
  <c r="D33" i="36"/>
  <c r="E33" i="36"/>
  <c r="F33" i="36"/>
  <c r="G33" i="36"/>
  <c r="C35" i="36"/>
  <c r="D35" i="36"/>
  <c r="E35" i="36"/>
  <c r="F35" i="36"/>
  <c r="G35" i="36"/>
  <c r="C40" i="36"/>
  <c r="D40" i="36"/>
  <c r="E40" i="36"/>
  <c r="F40" i="36"/>
  <c r="G40" i="36"/>
  <c r="C41" i="36"/>
  <c r="D41" i="36"/>
  <c r="E41" i="36"/>
  <c r="F41" i="36"/>
  <c r="G41" i="36"/>
  <c r="C45" i="36"/>
  <c r="D45" i="36"/>
  <c r="E45" i="36"/>
  <c r="F45" i="36"/>
  <c r="G45" i="36"/>
  <c r="C46" i="36"/>
  <c r="D46" i="36"/>
  <c r="E46" i="36"/>
  <c r="F46" i="36"/>
  <c r="G46" i="36"/>
  <c r="C49" i="36"/>
  <c r="D49" i="36"/>
  <c r="E49" i="36"/>
  <c r="F49" i="36"/>
  <c r="G49" i="36"/>
  <c r="C51" i="36"/>
  <c r="D51" i="36"/>
  <c r="E51" i="36"/>
  <c r="F51" i="36"/>
  <c r="G51" i="36"/>
  <c r="C52" i="36"/>
  <c r="D52" i="36"/>
  <c r="E52" i="36"/>
  <c r="F52" i="36"/>
  <c r="G52" i="36"/>
  <c r="C60" i="36"/>
  <c r="D60" i="36"/>
  <c r="E60" i="36"/>
  <c r="F60" i="36"/>
  <c r="G60" i="36"/>
  <c r="G61" i="36"/>
  <c r="C62" i="36"/>
  <c r="D62" i="36"/>
  <c r="E62" i="36"/>
  <c r="F62" i="36"/>
  <c r="G62" i="36"/>
  <c r="B64" i="36"/>
  <c r="B66" i="36"/>
  <c r="B68" i="36"/>
  <c r="B69" i="36"/>
</calcChain>
</file>

<file path=xl/sharedStrings.xml><?xml version="1.0" encoding="utf-8"?>
<sst xmlns="http://schemas.openxmlformats.org/spreadsheetml/2006/main" count="497" uniqueCount="358">
  <si>
    <t>Assets</t>
  </si>
  <si>
    <t>Liabilities and equity</t>
  </si>
  <si>
    <t>Total liabilities and equity</t>
  </si>
  <si>
    <t>Total assets</t>
  </si>
  <si>
    <t>Equity</t>
  </si>
  <si>
    <t>Retained earnings</t>
  </si>
  <si>
    <t>Cash</t>
  </si>
  <si>
    <t>Current assets</t>
  </si>
  <si>
    <t>Current liabilities</t>
  </si>
  <si>
    <t>Net working capital</t>
  </si>
  <si>
    <t>Enterprise value</t>
  </si>
  <si>
    <t>Terminal value</t>
  </si>
  <si>
    <t>Year</t>
  </si>
  <si>
    <t>FCF</t>
  </si>
  <si>
    <t>Long-term debt</t>
  </si>
  <si>
    <t>Minority interest</t>
  </si>
  <si>
    <t>Preferred stock</t>
  </si>
  <si>
    <t>Accounts receivable</t>
  </si>
  <si>
    <t>Inventories</t>
  </si>
  <si>
    <t>Tax rate</t>
  </si>
  <si>
    <t>Goodwill</t>
  </si>
  <si>
    <t>Accounts payable</t>
  </si>
  <si>
    <t>XYZ CORP BALANCE SHEET</t>
  </si>
  <si>
    <t>Short-term assets</t>
  </si>
  <si>
    <t>Marketable securities</t>
  </si>
  <si>
    <t>Fixed assets</t>
  </si>
  <si>
    <t>Land</t>
  </si>
  <si>
    <t>Minus accumulated depreciation</t>
  </si>
  <si>
    <t>Net fixed assets</t>
  </si>
  <si>
    <t>Short-term liabilities</t>
  </si>
  <si>
    <t>Taxes payable</t>
  </si>
  <si>
    <t>Current portion of long-term debt</t>
  </si>
  <si>
    <t>Short-term debt</t>
  </si>
  <si>
    <t>Pension liabilities</t>
  </si>
  <si>
    <t>Stock at par</t>
  </si>
  <si>
    <t>Accumulated retained earnings</t>
  </si>
  <si>
    <t>Stock repurchases</t>
  </si>
  <si>
    <t>Plant, property and equipment at cost</t>
  </si>
  <si>
    <t>Dividends paid</t>
  </si>
  <si>
    <t>Free cash flow (FCF)</t>
  </si>
  <si>
    <t>Depreciation rate</t>
  </si>
  <si>
    <t>Total</t>
  </si>
  <si>
    <t>Growth rate of FCF, years 1-5</t>
  </si>
  <si>
    <t>Long-term FCF growth rate</t>
  </si>
  <si>
    <t>Weighted average cost of capital, WACC</t>
  </si>
  <si>
    <t>&lt;-- From current balance sheet</t>
  </si>
  <si>
    <t>Equity value</t>
  </si>
  <si>
    <t>Income taxes</t>
  </si>
  <si>
    <t>Subtract out value of firm's debt today</t>
  </si>
  <si>
    <t>Asset value in year 0</t>
  </si>
  <si>
    <t>Long-term free cash flow growth rate</t>
  </si>
  <si>
    <t>Weighted average cost of capital</t>
  </si>
  <si>
    <t>Valuing the firm</t>
  </si>
  <si>
    <t>Free cash flow</t>
  </si>
  <si>
    <t>Add back after-tax interest on debt</t>
  </si>
  <si>
    <t>Subtract increase in fixed assets at cost</t>
  </si>
  <si>
    <t>Add back increase in current liabilities</t>
  </si>
  <si>
    <t>Subtract increase in current assets</t>
  </si>
  <si>
    <t>Add back depreciation</t>
  </si>
  <si>
    <t>Profit after tax</t>
  </si>
  <si>
    <t>Free cash flow calculation</t>
  </si>
  <si>
    <t>Stock</t>
  </si>
  <si>
    <t>Debt</t>
  </si>
  <si>
    <t xml:space="preserve">     Net fixed assets</t>
  </si>
  <si>
    <t xml:space="preserve">     Depreciation</t>
  </si>
  <si>
    <t xml:space="preserve">     At cost</t>
  </si>
  <si>
    <t>Cash and marketable securities</t>
  </si>
  <si>
    <t>Balance sheet</t>
  </si>
  <si>
    <t>Dividends</t>
  </si>
  <si>
    <t>Taxes</t>
  </si>
  <si>
    <t>Profit before tax</t>
  </si>
  <si>
    <t>Depreciation</t>
  </si>
  <si>
    <t>Interest earned on cash and marketable securities</t>
  </si>
  <si>
    <t>Interest payments on debt</t>
  </si>
  <si>
    <t>Costs of goods sold</t>
  </si>
  <si>
    <t>Sales</t>
  </si>
  <si>
    <t>Income statement</t>
  </si>
  <si>
    <t>Dividend payout ratio</t>
  </si>
  <si>
    <t>Interest paid on cash and marketable securities</t>
  </si>
  <si>
    <t>Interest rate on debt</t>
  </si>
  <si>
    <t>Costs of goods sold/Sales</t>
  </si>
  <si>
    <t>Net fixed assets/Sales</t>
  </si>
  <si>
    <t>Current liabilities/Sales</t>
  </si>
  <si>
    <t>Current assets/Sales</t>
  </si>
  <si>
    <t>Sales growth</t>
  </si>
  <si>
    <t>Operating Activities:</t>
  </si>
  <si>
    <t>Net earnings</t>
  </si>
  <si>
    <t>Adjustments to reconcile net earnings to net cash provided by operating activities</t>
  </si>
  <si>
    <t>Add back depreciation and amortization</t>
  </si>
  <si>
    <t>Changes in operating assets and liabilities:</t>
  </si>
  <si>
    <t>Subtract increase in accounts receivable</t>
  </si>
  <si>
    <t>Subtract increase in inventories</t>
  </si>
  <si>
    <t>Subtract increase in prepaid expenses and other assets</t>
  </si>
  <si>
    <t>Add increase in accounts payable, accrued expenses, pensions and other liabilities</t>
  </si>
  <si>
    <t>Net cash provided by operating activities</t>
  </si>
  <si>
    <t>Investing Activities:</t>
  </si>
  <si>
    <t>Short-term investments, net</t>
  </si>
  <si>
    <t>Purchases of property, plant and equipment</t>
  </si>
  <si>
    <t>Proceeds from dispositions of property, plant and equipment</t>
  </si>
  <si>
    <t>Net cash used in investing activities</t>
  </si>
  <si>
    <t>Financing Activities:</t>
  </si>
  <si>
    <t>Repayment of debt</t>
  </si>
  <si>
    <t>Proceeds from revolving credit facility borrowings</t>
  </si>
  <si>
    <t>Proceeds from the issuance of stock</t>
  </si>
  <si>
    <t>Stock repurchased</t>
  </si>
  <si>
    <t>Net cash used in financing activities</t>
  </si>
  <si>
    <t>Changes in cash balances</t>
  </si>
  <si>
    <t>Supplemental disclosure of cash flow information</t>
  </si>
  <si>
    <t>Cash paid during the period for</t>
  </si>
  <si>
    <t>Interest</t>
  </si>
  <si>
    <t>Income tax rate</t>
  </si>
  <si>
    <t>&lt;-- Optimistic about short-term growth</t>
  </si>
  <si>
    <t>&lt;-- More pessimistic about long-term growth</t>
  </si>
  <si>
    <t>Add back initial cash and marketable securities</t>
  </si>
  <si>
    <t>Per share (1 million shares outstanding)</t>
  </si>
  <si>
    <t>Data table:  Share value vs LT growth and WACC</t>
  </si>
  <si>
    <t>Free cash flow before interest adjustment</t>
  </si>
  <si>
    <t>Add back after-tax net interest</t>
  </si>
  <si>
    <t>Share value (100 shares)</t>
  </si>
  <si>
    <t>Cash and cash equivalents</t>
  </si>
  <si>
    <t>Total current liabilities</t>
  </si>
  <si>
    <t>Total current assets</t>
  </si>
  <si>
    <t>Total liabilities</t>
  </si>
  <si>
    <t>Other assets</t>
  </si>
  <si>
    <t>Total equity</t>
  </si>
  <si>
    <t>Net financial debt</t>
  </si>
  <si>
    <t>ABC CORPORATION
CSCF rewritten to Free Cash Flow (FCF)</t>
  </si>
  <si>
    <t>Add increase in accounts payable, accrued expenses, pensions, and other liabilities</t>
  </si>
  <si>
    <t>Excess financial assets</t>
  </si>
  <si>
    <t>Total excess financial assets</t>
  </si>
  <si>
    <t>Working capital</t>
  </si>
  <si>
    <t>Excess assets</t>
  </si>
  <si>
    <t>Operational liabilities (negative working capital)</t>
  </si>
  <si>
    <t>Total operating liabilities</t>
  </si>
  <si>
    <t>Financial liabilities</t>
  </si>
  <si>
    <t>Total financial liabilities</t>
  </si>
  <si>
    <r>
      <t xml:space="preserve">XYZ CORP BALANCE SHEET
</t>
    </r>
    <r>
      <rPr>
        <b/>
        <sz val="12"/>
        <color theme="1"/>
        <rFont val="Arial"/>
        <family val="2"/>
      </rPr>
      <t>The balance sheet items  are categorized to main groups by their economic nature</t>
    </r>
  </si>
  <si>
    <r>
      <t xml:space="preserve">XYZ CORP OPERATIONAL BALANCE SHEET
</t>
    </r>
    <r>
      <rPr>
        <b/>
        <sz val="12"/>
        <color theme="1"/>
        <rFont val="Arial"/>
        <family val="2"/>
      </rPr>
      <t>Operational current liabilities moved to left side, all financial liabilities on right side</t>
    </r>
  </si>
  <si>
    <t>Minus accounts payable</t>
  </si>
  <si>
    <t>Minus taxes payable</t>
  </si>
  <si>
    <t>Total net operational assets</t>
  </si>
  <si>
    <t>Minus excess financial assets</t>
  </si>
  <si>
    <t>Assets:</t>
  </si>
  <si>
    <t>Payable to dealers and others</t>
  </si>
  <si>
    <t>Accrued expenses</t>
  </si>
  <si>
    <t>Noncontrolling interests</t>
  </si>
  <si>
    <t xml:space="preserve">Liabilities: </t>
  </si>
  <si>
    <t>Enterprise value (accounting values)</t>
  </si>
  <si>
    <t>Accounting enterprise value (invested capital)</t>
  </si>
  <si>
    <t>Where net working capital is:</t>
  </si>
  <si>
    <t>Market capitalization ($M) - equity value</t>
  </si>
  <si>
    <t>CATERPILLAR VALUATION OF EQUITY:  EFFICIENT MARKETS APPROACH</t>
  </si>
  <si>
    <t>Net fixed assets (market value)</t>
  </si>
  <si>
    <t>DEERE &amp; COMPANY</t>
  </si>
  <si>
    <t>Receivables from unconsolidated affiliates</t>
  </si>
  <si>
    <t>Other receivables</t>
  </si>
  <si>
    <t>Investments in unconsolidated affiliates</t>
  </si>
  <si>
    <t>Retirement benefits</t>
  </si>
  <si>
    <t>Deferred income taxes</t>
  </si>
  <si>
    <t>Short-term borrowings</t>
  </si>
  <si>
    <t>Short-term securitization borrowings</t>
  </si>
  <si>
    <t>Payables to unconsolidated affiliates</t>
  </si>
  <si>
    <t>Accounts payable and accrued expenses</t>
  </si>
  <si>
    <t>Long-term borrowings</t>
  </si>
  <si>
    <t>Retirement benefits and other liabilities</t>
  </si>
  <si>
    <t>Accumulated other comprehensive income (loss)</t>
  </si>
  <si>
    <t>Total stockholders' equity</t>
  </si>
  <si>
    <t>(In millions of dollars)</t>
  </si>
  <si>
    <t>Provision for credit losses</t>
  </si>
  <si>
    <t>Changes in assets and liabilities:</t>
  </si>
  <si>
    <t>Other</t>
  </si>
  <si>
    <t>Net cash provided by (used for) financing activities</t>
  </si>
  <si>
    <t>STATEMENT OF CONSOLIDATED INCOME</t>
  </si>
  <si>
    <t>Net Sales and Revenues</t>
  </si>
  <si>
    <t>Costs and Expenses</t>
  </si>
  <si>
    <t>Cost of sales</t>
  </si>
  <si>
    <t>Research and development expenses</t>
  </si>
  <si>
    <t>Selling, administrative and general expenses</t>
  </si>
  <si>
    <t>Interest expense</t>
  </si>
  <si>
    <t>Income of Consolidated Group before Income Taxes</t>
  </si>
  <si>
    <t>Provision for income taxes</t>
  </si>
  <si>
    <t>Income of Consolidated Group</t>
  </si>
  <si>
    <t>Equity in income (loss) of unconsolidated affiliates</t>
  </si>
  <si>
    <t>Net Income Attributable to Deere &amp; Company</t>
  </si>
  <si>
    <t>Per Share Data</t>
  </si>
  <si>
    <t>Average Shares Outstanding</t>
  </si>
  <si>
    <t>Gross profit</t>
  </si>
  <si>
    <t>Key income statement numbers</t>
  </si>
  <si>
    <t>Depreciation and amortization</t>
  </si>
  <si>
    <t>Earnings before interest, taxes, depreciation and amortization (EBITDA)</t>
  </si>
  <si>
    <t xml:space="preserve">Total </t>
  </si>
  <si>
    <t>DEERE &amp; COMPANY, ENTERPRISE VALUE BALANCE SHEET</t>
  </si>
  <si>
    <t>Step 1 - calculate the multiples from DE</t>
  </si>
  <si>
    <t>Step 2 - Enterprise value estimation of CAT</t>
  </si>
  <si>
    <t>Other, net</t>
  </si>
  <si>
    <t>Other income (expense)</t>
  </si>
  <si>
    <t>Provision (benefit) for income taxes</t>
  </si>
  <si>
    <t>Amortization of receivables purchase discount</t>
  </si>
  <si>
    <t>Receivables from others</t>
  </si>
  <si>
    <t>Other receivables/payables with Caterpillar</t>
  </si>
  <si>
    <t>Accrued interest payable</t>
  </si>
  <si>
    <t>Accrued expenses and other liabilities, net</t>
  </si>
  <si>
    <t>Income taxes payable</t>
  </si>
  <si>
    <t>Settlements of designated derivatives</t>
  </si>
  <si>
    <t>Debt exchange premium</t>
  </si>
  <si>
    <t>—</t>
  </si>
  <si>
    <t>Cash flows from investing activities:</t>
  </si>
  <si>
    <t>Capital expenditures for equipment on operating leases and other capital expenditures</t>
  </si>
  <si>
    <t>Proceeds from disposals of equipment</t>
  </si>
  <si>
    <t>Additions to finance receivables</t>
  </si>
  <si>
    <t>Collections of finance receivables</t>
  </si>
  <si>
    <t>Net changes in Caterpillar purchased receivables</t>
  </si>
  <si>
    <t>Proceeds from sales of receivables</t>
  </si>
  <si>
    <t>Net change in variable lending to Caterpillar</t>
  </si>
  <si>
    <t>Additions to other notes receivable with Caterpillar</t>
  </si>
  <si>
    <t>Collections on other notes receivable with Caterpillar</t>
  </si>
  <si>
    <t>Restricted cash and cash equivalents activity, net</t>
  </si>
  <si>
    <t>Settlements of undesignated derivatives</t>
  </si>
  <si>
    <t>Net cash provided by (used for) investing activities</t>
  </si>
  <si>
    <t>Cash flows from financing activities:</t>
  </si>
  <si>
    <t>Net change in variable lending from Caterpillar</t>
  </si>
  <si>
    <t>Proceeds from borrowings with Caterpillar</t>
  </si>
  <si>
    <t>Payments on borrowings with Caterpillar</t>
  </si>
  <si>
    <t>Proceeds from debt issued (original maturities greater than three months)</t>
  </si>
  <si>
    <t>Payments on debt issued (original maturities greater than three months)</t>
  </si>
  <si>
    <t>Short-term borrowings, net (original maturities three months or less)</t>
  </si>
  <si>
    <t>Dividend paid to Caterpillar</t>
  </si>
  <si>
    <t>Effect of exchange rate changes on cash and cash equivalents</t>
  </si>
  <si>
    <t>Increase/(decrease) in cash and cash equivalents</t>
  </si>
  <si>
    <t>Cash and cash equivalents at beginning of period</t>
  </si>
  <si>
    <t>Cash and cash equivalents at end of period</t>
  </si>
  <si>
    <t>Cash paid for interest</t>
  </si>
  <si>
    <t>Cash (received) paid for taxes</t>
  </si>
  <si>
    <t>All short-term investments, which consist primarily of highly liquid investments with original maturities of three months or less, are considered to be cash equivalents.</t>
  </si>
  <si>
    <t>Non-cash activity: In September 2016, $381 million of medium-term notes with varying interest rates and maturity dates were exchanged for $366 million of 1.93% medium-term notes due in 2021 and $15 million of cash. In addition, a debt exchange premium of $33 million was paid and is included in the operating section of the Consolidated Statements of Cash Flows.</t>
  </si>
  <si>
    <t>See Notes to Consolidated Financial Statements.</t>
  </si>
  <si>
    <t>CAT's enterprise value</t>
  </si>
  <si>
    <t>KEY INCOME STATEMENT NUBMERS</t>
  </si>
  <si>
    <t>DE</t>
  </si>
  <si>
    <t>CAT</t>
  </si>
  <si>
    <t>Average</t>
  </si>
  <si>
    <t>Pluss: excess assets</t>
  </si>
  <si>
    <t>Less net financial debt</t>
  </si>
  <si>
    <t>ABC CORPORATION
Consolidated Statement of Cash Flows, 2020-2024</t>
  </si>
  <si>
    <t>↓ WACC; →Long-term growth rate</t>
  </si>
  <si>
    <t>Free cash flow (FCF) year ending 31 Dec. 2020</t>
  </si>
  <si>
    <t>Consolidated Financial Position - USD ($)</t>
  </si>
  <si>
    <t>$ in Millions</t>
  </si>
  <si>
    <t>Dec. 31, 2019</t>
  </si>
  <si>
    <t>Dec. 31, 2018</t>
  </si>
  <si>
    <t>Current assets:</t>
  </si>
  <si>
    <t>Cash and short-term investments</t>
  </si>
  <si>
    <t>Receivables - trade and other</t>
  </si>
  <si>
    <t>Receivables - finance</t>
  </si>
  <si>
    <t>Long-term receivables - trade and other</t>
  </si>
  <si>
    <t>Long-term receivables - finance</t>
  </si>
  <si>
    <t>Noncurrent deferred and refundable income taxes</t>
  </si>
  <si>
    <t>Intangible assets</t>
  </si>
  <si>
    <t>Short-term borrowings:</t>
  </si>
  <si>
    <t>Machinery, Energy &amp; Transportation</t>
  </si>
  <si>
    <t>Financial Products</t>
  </si>
  <si>
    <t>Accrued wages, salaries and employee benefits</t>
  </si>
  <si>
    <t>Customer advances</t>
  </si>
  <si>
    <t>Dividends payable</t>
  </si>
  <si>
    <t>Other current liabilities</t>
  </si>
  <si>
    <t>Long-term debt due within one year:</t>
  </si>
  <si>
    <t>Long-term debt due after one year:</t>
  </si>
  <si>
    <t>Liability for postemployment benefits</t>
  </si>
  <si>
    <t>Other liabilities</t>
  </si>
  <si>
    <t>Shareholders' equity</t>
  </si>
  <si>
    <t>Common stock of $1.00 par value: Authorized shares: 2,000,000,000 Issued shares: (2019 and 2018 – 814,894,624 shares) at paid-in amount</t>
  </si>
  <si>
    <t>Treasury stock: (2019 - 264,812,014 shares; and 2018 – 239,351,886 shares) at cost</t>
  </si>
  <si>
    <t>Profit employed in the business</t>
  </si>
  <si>
    <t>Total liabilities and stockholders' equity</t>
  </si>
  <si>
    <t>CATERPILLAR INC (Filer) CIK: 0000018230</t>
  </si>
  <si>
    <t>https://www.sec.gov/cgi-bin/viewer?action=view&amp;cik=18230&amp;accession_number=0000018230-20-000056&amp;xbrl_type=v#</t>
  </si>
  <si>
    <t>CATERPILLAR INC (Filer) CIK: 0000018230
CONSOLIDATED STATEMENTS OF FINANCIAL POSITION
At December 31, (Dollars in Millions, except share data)</t>
  </si>
  <si>
    <t>Shares outstanding (Dec 2019, M)</t>
  </si>
  <si>
    <t>Share price (Dec 2019, $)</t>
  </si>
  <si>
    <t>Trade accounts and notes receivable - net</t>
  </si>
  <si>
    <t>Financing receivables - net</t>
  </si>
  <si>
    <t>Financing receivables securitized - net</t>
  </si>
  <si>
    <t>Equipment on operating leases - net</t>
  </si>
  <si>
    <t>Property and equipment - net</t>
  </si>
  <si>
    <t>Other intangible assets - net</t>
  </si>
  <si>
    <t>Redeemable noncontrolling interest</t>
  </si>
  <si>
    <t>Liabilities</t>
  </si>
  <si>
    <r>
      <t xml:space="preserve">DEERE &amp; COMPANY KEY FINANCIALS, 2019
</t>
    </r>
    <r>
      <rPr>
        <b/>
        <sz val="11"/>
        <color theme="1"/>
        <rFont val="Arial"/>
        <family val="2"/>
      </rPr>
      <t>(MILLIONS OF DOLLARS)</t>
    </r>
  </si>
  <si>
    <t>STATEMENT OF CONSOLIDATED INCOME - USD ($) shares in Millions, $ in Millions</t>
  </si>
  <si>
    <t>12 Months Ended</t>
  </si>
  <si>
    <t>Nov. 03, 2019</t>
  </si>
  <si>
    <t>Oct. 28, 2018</t>
  </si>
  <si>
    <t>Oct. 29, 2017</t>
  </si>
  <si>
    <t>Net sales and revenues</t>
  </si>
  <si>
    <t>Less: Net income attributable to noncontrolling interests</t>
  </si>
  <si>
    <t>Basic (in dollars per share)</t>
  </si>
  <si>
    <t>Diluted (in dollars per share)</t>
  </si>
  <si>
    <t>Dividends declared (in dollars per share)</t>
  </si>
  <si>
    <t>Basic (in shares)</t>
  </si>
  <si>
    <t>Diluted (in shares)</t>
  </si>
  <si>
    <t>Net Sales</t>
  </si>
  <si>
    <t>Costs and expenses</t>
  </si>
  <si>
    <t>Finance and Interest Income</t>
  </si>
  <si>
    <t>For the Years Ended</t>
  </si>
  <si>
    <t>Source:</t>
  </si>
  <si>
    <t>https://www.sec.gov/cgi-bin/viewer?action=view&amp;cik=315189&amp;accession_number=0001558370-19-011614&amp;xbrl_type=v#</t>
  </si>
  <si>
    <r>
      <t xml:space="preserve">DEERE &amp; COMPANY KEY FINANCIALS, 2019
</t>
    </r>
    <r>
      <rPr>
        <b/>
        <sz val="12"/>
        <color theme="1"/>
        <rFont val="Arial"/>
        <family val="2"/>
      </rPr>
      <t>Balance sheet was rearranged to operational balance sheet
(MILLIONS OF DOLLARS)</t>
    </r>
  </si>
  <si>
    <t>Shares outstanding (Oct 2019, M)</t>
  </si>
  <si>
    <t>Share price (Oct 2019, $)</t>
  </si>
  <si>
    <t xml:space="preserve"> &lt;-- (source: 2019 financial reports)</t>
  </si>
  <si>
    <t>Consolidated Results of Operations - USD ($)</t>
  </si>
  <si>
    <t>shares in Millions, $ in Millions</t>
  </si>
  <si>
    <t>Dec. 31, 2017</t>
  </si>
  <si>
    <t>Sales and revenues:</t>
  </si>
  <si>
    <t>Sales and revenues</t>
  </si>
  <si>
    <t>Cost of goods sold</t>
  </si>
  <si>
    <t>Operating costs:</t>
  </si>
  <si>
    <t>Selling, general and administrative expenses</t>
  </si>
  <si>
    <t>Interest expense of Financial Products</t>
  </si>
  <si>
    <t>Goodwill impairment charge</t>
  </si>
  <si>
    <t>Other operating (income) expenses</t>
  </si>
  <si>
    <t>Total operating costs</t>
  </si>
  <si>
    <t>Operating profit</t>
  </si>
  <si>
    <t>Interest Expense Excluding Financial Products</t>
  </si>
  <si>
    <t>Consolidated profit before taxes</t>
  </si>
  <si>
    <t>Profit (loss) of consolidated companies</t>
  </si>
  <si>
    <t>Equity in profit (loss) of unconsolidated affiliated companies</t>
  </si>
  <si>
    <t>Profit (loss) of consolidated and affiliated companies</t>
  </si>
  <si>
    <t>Less: Profit (loss) attributable to noncontrolling interests</t>
  </si>
  <si>
    <t>Profit (loss)</t>
  </si>
  <si>
    <t>[1]</t>
  </si>
  <si>
    <t>Profit (loss) per common share (in dollars per share)</t>
  </si>
  <si>
    <t>Profit (loss) per common share - diluted (in dollars per share)</t>
  </si>
  <si>
    <t>[2]</t>
  </si>
  <si>
    <t>Weighted-average common shares outstanding (millions)</t>
  </si>
  <si>
    <t>Profit attributable to common shareholders.</t>
  </si>
  <si>
    <t>Diluted by assumed exercise of stock-based compensation awards, using the treasury stock method.</t>
  </si>
  <si>
    <t>Discontinued operation</t>
  </si>
  <si>
    <t>CATERPILLAR INC., BALANCE SHEET
31 December 2019, (Dollars in Millions)</t>
  </si>
  <si>
    <t>Prepaid expense and other assets</t>
  </si>
  <si>
    <t>Property, plant and equipment, net</t>
  </si>
  <si>
    <t>Machinery, energy &amp; transportation</t>
  </si>
  <si>
    <t>Financial products</t>
  </si>
  <si>
    <t>Goodwill and intangible</t>
  </si>
  <si>
    <t>CATERPILLAR INC., OPERATIONAL BALANCE SHEET
31 December 2019, (Dollars in Millions)</t>
  </si>
  <si>
    <t>Enterprise value efficient markets approach</t>
  </si>
  <si>
    <r>
      <t xml:space="preserve">CATERPILLAR INC., ENTERPRISE VALUE BALANCE SHEET
</t>
    </r>
    <r>
      <rPr>
        <b/>
        <sz val="12"/>
        <color theme="1"/>
        <rFont val="Arial"/>
        <family val="2"/>
      </rPr>
      <t>Right-hand side revalued at market values
Left-hand side brought into balance with right-hand side by adjusting long-term assets</t>
    </r>
  </si>
  <si>
    <t>Net income</t>
  </si>
  <si>
    <t>Earnings before interest and taxes (EBIT)</t>
  </si>
  <si>
    <t>Goodwukk and intangible</t>
  </si>
  <si>
    <t>CATERPILLAR INC., VALUATION USING MULTIPLES BASED ON DEERE &amp; COMPANY</t>
  </si>
  <si>
    <t>Based on EBITDA multiple</t>
  </si>
  <si>
    <t>Based on EBIT multiple</t>
  </si>
  <si>
    <t>ABC CORP. VALUATION
Based on consolidated statement of cash flows (CSCF)</t>
  </si>
  <si>
    <t>Subtract 2020 financial liabilities</t>
  </si>
  <si>
    <t>PRO FORMA FINANCIAL MODEL</t>
  </si>
  <si>
    <t>Subtract after-tax interest on cash and marketable securities</t>
  </si>
  <si>
    <t>Add in initial (year 0) cash and marketable securities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</si>
</sst>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&quot;$&quot;#,##0_);[Red]\(&quot;$&quot;#,##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0_);\(0\)"/>
    <numFmt numFmtId="169" formatCode="_(* #,##0_);_(* \(#,##0\);_(* &quot;-&quot;??_);_(@_)"/>
    <numFmt numFmtId="170" formatCode="0.0%"/>
    <numFmt numFmtId="171" formatCode="_(&quot;$ &quot;#,##0_);_(&quot;$ &quot;\(#,##0\)"/>
    <numFmt numFmtId="172" formatCode="_(&quot;$ &quot;#,##0.00_);_(&quot;$ &quot;\(#,##0.00\)"/>
    <numFmt numFmtId="173" formatCode="#,##0.0_);\(#,##0.0\)"/>
  </numFmts>
  <fonts count="32"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2"/>
      <color theme="1"/>
      <name val="Arial"/>
      <family val="2"/>
    </font>
    <font>
      <b/>
      <sz val="10"/>
      <name val="Arial"/>
      <family val="2"/>
    </font>
    <font>
      <u/>
      <sz val="11"/>
      <color theme="1"/>
      <name val="Arial"/>
      <family val="2"/>
    </font>
    <font>
      <u/>
      <sz val="11"/>
      <color theme="10"/>
      <name val="Arial"/>
      <family val="2"/>
    </font>
    <font>
      <b/>
      <sz val="9"/>
      <color rgb="FF000000"/>
      <name val="Inherit"/>
    </font>
    <font>
      <sz val="10"/>
      <color rgb="FF000000"/>
      <name val="Inherit"/>
    </font>
    <font>
      <b/>
      <u/>
      <sz val="10"/>
      <color rgb="FF000000"/>
      <name val="Inherit"/>
    </font>
    <font>
      <b/>
      <u/>
      <sz val="9"/>
      <color rgb="FF000000"/>
      <name val="Inherit"/>
    </font>
    <font>
      <b/>
      <u/>
      <sz val="11"/>
      <color theme="1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0"/>
      <color rgb="FF000000"/>
      <name val="Inherit"/>
    </font>
    <font>
      <b/>
      <sz val="9"/>
      <color theme="1"/>
      <name val="Inherit"/>
    </font>
    <font>
      <sz val="9"/>
      <color theme="1"/>
      <name val="Inherit"/>
    </font>
    <font>
      <sz val="8"/>
      <color theme="1"/>
      <name val="Inherit"/>
    </font>
    <font>
      <i/>
      <sz val="10"/>
      <color rgb="FF000000"/>
      <name val="Inherit"/>
    </font>
    <font>
      <b/>
      <sz val="4"/>
      <color rgb="FF000000"/>
      <name val="Arial"/>
      <family val="2"/>
    </font>
    <font>
      <sz val="9"/>
      <color rgb="FF000000"/>
      <name val="Inherit"/>
    </font>
    <font>
      <sz val="11"/>
      <name val="Calibri"/>
      <family val="2"/>
    </font>
    <font>
      <b/>
      <sz val="11"/>
      <name val="Calibri"/>
      <family val="2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i/>
      <vertAlign val="superscript"/>
      <sz val="8"/>
      <color rgb="FF000000"/>
      <name val="Arial"/>
      <family val="2"/>
    </font>
    <font>
      <b/>
      <i/>
      <vertAlign val="superscript"/>
      <sz val="8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CEE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AACCFF"/>
        <bgColor indexed="64"/>
      </patternFill>
    </fill>
    <fill>
      <patternFill patternType="solid">
        <fgColor rgb="FFDDEEFF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rgb="FFAACCFF"/>
      </left>
      <right/>
      <top style="medium">
        <color rgb="FFAACCFF"/>
      </top>
      <bottom/>
      <diagonal/>
    </border>
    <border>
      <left/>
      <right/>
      <top style="medium">
        <color rgb="FFAACCFF"/>
      </top>
      <bottom/>
      <diagonal/>
    </border>
    <border>
      <left/>
      <right style="medium">
        <color rgb="FFAACCFF"/>
      </right>
      <top style="medium">
        <color rgb="FFAACCFF"/>
      </top>
      <bottom/>
      <diagonal/>
    </border>
    <border>
      <left style="medium">
        <color rgb="FFAACCFF"/>
      </left>
      <right/>
      <top/>
      <bottom/>
      <diagonal/>
    </border>
    <border>
      <left/>
      <right style="medium">
        <color rgb="FFAACCFF"/>
      </right>
      <top/>
      <bottom/>
      <diagonal/>
    </border>
    <border>
      <left style="medium">
        <color rgb="FFAACCFF"/>
      </left>
      <right/>
      <top/>
      <bottom style="medium">
        <color rgb="FFAACCFF"/>
      </bottom>
      <diagonal/>
    </border>
    <border>
      <left/>
      <right/>
      <top/>
      <bottom style="medium">
        <color rgb="FFAACCFF"/>
      </bottom>
      <diagonal/>
    </border>
    <border>
      <left/>
      <right style="medium">
        <color rgb="FFAACCFF"/>
      </right>
      <top/>
      <bottom style="medium">
        <color rgb="FFAACCFF"/>
      </bottom>
      <diagonal/>
    </border>
  </borders>
  <cellStyleXfs count="8">
    <xf numFmtId="0" fontId="0" fillId="0" borderId="0"/>
    <xf numFmtId="9" fontId="3" fillId="0" borderId="0" applyFont="0" applyFill="0" applyBorder="0" applyAlignment="0" applyProtection="0"/>
    <xf numFmtId="0" fontId="4" fillId="0" borderId="0"/>
    <xf numFmtId="167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4" fillId="0" borderId="0">
      <alignment vertical="top"/>
    </xf>
    <xf numFmtId="9" fontId="4" fillId="0" borderId="0" applyFont="0" applyFill="0" applyBorder="0" applyAlignment="0" applyProtection="0"/>
    <xf numFmtId="0" fontId="11" fillId="0" borderId="0" applyNumberFormat="0" applyFill="0" applyBorder="0" applyAlignment="0" applyProtection="0"/>
  </cellStyleXfs>
  <cellXfs count="239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indent="1"/>
    </xf>
    <xf numFmtId="0" fontId="0" fillId="0" borderId="0" xfId="0" applyAlignment="1">
      <alignment horizontal="left"/>
    </xf>
    <xf numFmtId="3" fontId="0" fillId="0" borderId="0" xfId="0" applyNumberFormat="1"/>
    <xf numFmtId="0" fontId="1" fillId="0" borderId="0" xfId="0" applyFont="1" applyAlignment="1">
      <alignment wrapText="1"/>
    </xf>
    <xf numFmtId="0" fontId="0" fillId="0" borderId="0" xfId="0" applyAlignment="1">
      <alignment horizontal="left" wrapText="1" indent="1"/>
    </xf>
    <xf numFmtId="10" fontId="0" fillId="0" borderId="0" xfId="1" applyNumberFormat="1" applyFont="1"/>
    <xf numFmtId="0" fontId="0" fillId="0" borderId="0" xfId="0" applyAlignment="1">
      <alignment horizontal="left" wrapText="1"/>
    </xf>
    <xf numFmtId="3" fontId="0" fillId="0" borderId="0" xfId="0" applyNumberFormat="1" applyAlignment="1">
      <alignment horizontal="right"/>
    </xf>
    <xf numFmtId="3" fontId="0" fillId="0" borderId="0" xfId="0" applyNumberFormat="1" applyAlignment="1">
      <alignment horizontal="right" indent="1"/>
    </xf>
    <xf numFmtId="0" fontId="1" fillId="0" borderId="0" xfId="0" applyFont="1"/>
    <xf numFmtId="3" fontId="1" fillId="0" borderId="0" xfId="0" applyNumberFormat="1" applyFont="1" applyAlignment="1">
      <alignment horizontal="right"/>
    </xf>
    <xf numFmtId="3" fontId="1" fillId="0" borderId="0" xfId="0" applyNumberFormat="1" applyFont="1"/>
    <xf numFmtId="0" fontId="0" fillId="0" borderId="0" xfId="0" applyFont="1"/>
    <xf numFmtId="3" fontId="0" fillId="0" borderId="0" xfId="0" applyNumberFormat="1" applyFont="1" applyFill="1"/>
    <xf numFmtId="3" fontId="0" fillId="0" borderId="0" xfId="0" applyNumberFormat="1" applyFont="1"/>
    <xf numFmtId="0" fontId="6" fillId="0" borderId="0" xfId="0" applyFont="1"/>
    <xf numFmtId="0" fontId="6" fillId="0" borderId="0" xfId="0" applyFont="1" applyFill="1"/>
    <xf numFmtId="3" fontId="6" fillId="0" borderId="0" xfId="0" applyNumberFormat="1" applyFont="1"/>
    <xf numFmtId="0" fontId="4" fillId="0" borderId="0" xfId="2"/>
    <xf numFmtId="0" fontId="9" fillId="0" borderId="0" xfId="2" applyFont="1"/>
    <xf numFmtId="3" fontId="4" fillId="0" borderId="0" xfId="2" applyNumberFormat="1"/>
    <xf numFmtId="9" fontId="4" fillId="0" borderId="0" xfId="2" applyNumberFormat="1"/>
    <xf numFmtId="37" fontId="4" fillId="0" borderId="0" xfId="2" applyNumberFormat="1"/>
    <xf numFmtId="168" fontId="4" fillId="0" borderId="0" xfId="2" applyNumberFormat="1"/>
    <xf numFmtId="168" fontId="9" fillId="0" borderId="0" xfId="2" applyNumberFormat="1" applyFont="1" applyAlignment="1">
      <alignment horizontal="center"/>
    </xf>
    <xf numFmtId="168" fontId="9" fillId="0" borderId="0" xfId="2" applyNumberFormat="1" applyFont="1"/>
    <xf numFmtId="0" fontId="4" fillId="0" borderId="0" xfId="2" applyFont="1"/>
    <xf numFmtId="9" fontId="4" fillId="0" borderId="0" xfId="2" applyNumberFormat="1" applyFont="1"/>
    <xf numFmtId="0" fontId="5" fillId="0" borderId="0" xfId="2" applyFont="1"/>
    <xf numFmtId="3" fontId="4" fillId="0" borderId="0" xfId="2" quotePrefix="1" applyNumberFormat="1"/>
    <xf numFmtId="169" fontId="4" fillId="0" borderId="0" xfId="3" applyNumberFormat="1" applyFont="1"/>
    <xf numFmtId="169" fontId="0" fillId="0" borderId="0" xfId="3" applyNumberFormat="1" applyFont="1"/>
    <xf numFmtId="169" fontId="4" fillId="0" borderId="0" xfId="2" applyNumberFormat="1"/>
    <xf numFmtId="0" fontId="4" fillId="0" borderId="0" xfId="2" applyFont="1" applyAlignment="1">
      <alignment wrapText="1"/>
    </xf>
    <xf numFmtId="0" fontId="9" fillId="0" borderId="0" xfId="5" applyFont="1" applyBorder="1" applyAlignment="1">
      <alignment horizontal="center" vertical="top"/>
    </xf>
    <xf numFmtId="0" fontId="9" fillId="0" borderId="0" xfId="2" applyFont="1" applyAlignment="1">
      <alignment wrapText="1"/>
    </xf>
    <xf numFmtId="0" fontId="4" fillId="0" borderId="0" xfId="5" applyFont="1">
      <alignment vertical="top"/>
    </xf>
    <xf numFmtId="3" fontId="4" fillId="0" borderId="0" xfId="5" applyNumberFormat="1" applyFont="1">
      <alignment vertical="top"/>
    </xf>
    <xf numFmtId="3" fontId="4" fillId="0" borderId="0" xfId="4" applyNumberFormat="1" applyFont="1" applyAlignment="1">
      <alignment horizontal="right"/>
    </xf>
    <xf numFmtId="3" fontId="4" fillId="0" borderId="0" xfId="4" applyNumberFormat="1" applyFont="1"/>
    <xf numFmtId="0" fontId="4" fillId="0" borderId="0" xfId="2" applyFont="1" applyAlignment="1">
      <alignment horizontal="left" wrapText="1"/>
    </xf>
    <xf numFmtId="3" fontId="4" fillId="0" borderId="0" xfId="2" applyNumberFormat="1" applyFont="1"/>
    <xf numFmtId="3" fontId="4" fillId="0" borderId="0" xfId="3" applyNumberFormat="1" applyFont="1"/>
    <xf numFmtId="0" fontId="4" fillId="0" borderId="0" xfId="2" applyFont="1" applyAlignment="1">
      <alignment horizontal="left" wrapText="1" indent="2"/>
    </xf>
    <xf numFmtId="0" fontId="4" fillId="0" borderId="0" xfId="2" applyFont="1" applyAlignment="1">
      <alignment horizontal="left" wrapText="1" indent="3"/>
    </xf>
    <xf numFmtId="0" fontId="9" fillId="0" borderId="0" xfId="2" applyFont="1" applyAlignment="1">
      <alignment horizontal="left" wrapText="1"/>
    </xf>
    <xf numFmtId="3" fontId="9" fillId="0" borderId="0" xfId="3" applyNumberFormat="1" applyFont="1" applyBorder="1" applyAlignment="1"/>
    <xf numFmtId="3" fontId="9" fillId="0" borderId="0" xfId="5" applyNumberFormat="1" applyFont="1">
      <alignment vertical="top"/>
    </xf>
    <xf numFmtId="3" fontId="4" fillId="0" borderId="0" xfId="3" applyNumberFormat="1" applyFont="1" applyBorder="1"/>
    <xf numFmtId="3" fontId="9" fillId="0" borderId="0" xfId="2" applyNumberFormat="1" applyFont="1"/>
    <xf numFmtId="0" fontId="9" fillId="0" borderId="0" xfId="2" applyFont="1" applyAlignment="1"/>
    <xf numFmtId="0" fontId="4" fillId="0" borderId="0" xfId="2" applyFont="1" applyAlignment="1">
      <alignment horizontal="left" wrapText="1" indent="1"/>
    </xf>
    <xf numFmtId="10" fontId="4" fillId="0" borderId="0" xfId="1" applyNumberFormat="1" applyFont="1"/>
    <xf numFmtId="0" fontId="6" fillId="0" borderId="0" xfId="0" applyFont="1" applyAlignment="1">
      <alignment wrapText="1"/>
    </xf>
    <xf numFmtId="0" fontId="6" fillId="0" borderId="0" xfId="0" applyFont="1" applyFill="1" applyAlignment="1">
      <alignment wrapText="1"/>
    </xf>
    <xf numFmtId="2" fontId="0" fillId="0" borderId="0" xfId="0" applyNumberFormat="1" applyFont="1"/>
    <xf numFmtId="9" fontId="0" fillId="3" borderId="0" xfId="0" applyNumberFormat="1" applyFont="1" applyFill="1"/>
    <xf numFmtId="4" fontId="0" fillId="0" borderId="0" xfId="0" applyNumberFormat="1" applyFont="1" applyAlignment="1">
      <alignment horizontal="center"/>
    </xf>
    <xf numFmtId="3" fontId="9" fillId="2" borderId="0" xfId="3" applyNumberFormat="1" applyFont="1" applyFill="1" applyBorder="1" applyAlignment="1"/>
    <xf numFmtId="0" fontId="9" fillId="2" borderId="0" xfId="2" applyFont="1" applyFill="1" applyAlignment="1">
      <alignment wrapText="1"/>
    </xf>
    <xf numFmtId="4" fontId="4" fillId="0" borderId="0" xfId="2" applyNumberFormat="1"/>
    <xf numFmtId="0" fontId="0" fillId="0" borderId="0" xfId="0" applyAlignment="1">
      <alignment horizontal="left" indent="2"/>
    </xf>
    <xf numFmtId="0" fontId="0" fillId="0" borderId="0" xfId="0" applyFill="1"/>
    <xf numFmtId="3" fontId="0" fillId="0" borderId="0" xfId="0" applyNumberFormat="1" applyFill="1"/>
    <xf numFmtId="3" fontId="4" fillId="0" borderId="0" xfId="5" applyNumberFormat="1" applyFont="1" applyAlignment="1">
      <alignment vertical="center"/>
    </xf>
    <xf numFmtId="3" fontId="4" fillId="0" borderId="0" xfId="3" applyNumberFormat="1" applyFont="1" applyAlignment="1">
      <alignment vertical="center"/>
    </xf>
    <xf numFmtId="0" fontId="1" fillId="0" borderId="0" xfId="0" applyFont="1" applyAlignment="1">
      <alignment horizontal="left"/>
    </xf>
    <xf numFmtId="3" fontId="0" fillId="0" borderId="0" xfId="0" applyNumberFormat="1" applyFont="1" applyAlignment="1">
      <alignment horizontal="right"/>
    </xf>
    <xf numFmtId="0" fontId="10" fillId="0" borderId="0" xfId="0" applyFont="1"/>
    <xf numFmtId="0" fontId="10" fillId="0" borderId="0" xfId="0" applyFont="1" applyAlignment="1">
      <alignment horizontal="left"/>
    </xf>
    <xf numFmtId="0" fontId="0" fillId="0" borderId="1" xfId="0" applyBorder="1" applyAlignment="1">
      <alignment horizontal="center"/>
    </xf>
    <xf numFmtId="0" fontId="0" fillId="0" borderId="0" xfId="0" applyFont="1" applyAlignment="1">
      <alignment horizontal="left" indent="1"/>
    </xf>
    <xf numFmtId="0" fontId="0" fillId="0" borderId="0" xfId="0" applyFill="1" applyAlignment="1">
      <alignment horizontal="center" wrapText="1"/>
    </xf>
    <xf numFmtId="0" fontId="15" fillId="0" borderId="0" xfId="0" applyFont="1" applyFill="1" applyAlignment="1">
      <alignment vertical="center"/>
    </xf>
    <xf numFmtId="0" fontId="14" fillId="0" borderId="0" xfId="0" applyFont="1" applyFill="1" applyAlignment="1">
      <alignment vertical="center"/>
    </xf>
    <xf numFmtId="0" fontId="13" fillId="0" borderId="0" xfId="0" applyFont="1" applyFill="1" applyAlignment="1">
      <alignment vertical="center"/>
    </xf>
    <xf numFmtId="3" fontId="13" fillId="0" borderId="0" xfId="0" applyNumberFormat="1" applyFont="1" applyFill="1" applyAlignment="1">
      <alignment vertical="center"/>
    </xf>
    <xf numFmtId="0" fontId="12" fillId="0" borderId="0" xfId="0" applyFont="1" applyFill="1" applyAlignment="1">
      <alignment vertical="center"/>
    </xf>
    <xf numFmtId="3" fontId="0" fillId="0" borderId="0" xfId="0" applyNumberFormat="1" applyAlignment="1">
      <alignment horizontal="right" vertical="center"/>
    </xf>
    <xf numFmtId="3" fontId="0" fillId="0" borderId="0" xfId="0" applyNumberFormat="1" applyAlignment="1">
      <alignment horizontal="right" wrapText="1"/>
    </xf>
    <xf numFmtId="3" fontId="1" fillId="0" borderId="0" xfId="0" applyNumberFormat="1" applyFont="1" applyAlignment="1">
      <alignment horizontal="right" vertical="center"/>
    </xf>
    <xf numFmtId="0" fontId="0" fillId="0" borderId="0" xfId="0" applyAlignment="1">
      <alignment horizontal="left" vertical="top" wrapText="1"/>
    </xf>
    <xf numFmtId="0" fontId="16" fillId="0" borderId="0" xfId="0" applyFont="1"/>
    <xf numFmtId="4" fontId="0" fillId="0" borderId="0" xfId="0" applyNumberFormat="1" applyAlignment="1">
      <alignment horizontal="right"/>
    </xf>
    <xf numFmtId="0" fontId="2" fillId="0" borderId="0" xfId="0" applyFont="1" applyAlignment="1">
      <alignment vertical="center"/>
    </xf>
    <xf numFmtId="0" fontId="0" fillId="3" borderId="0" xfId="0" applyFill="1"/>
    <xf numFmtId="3" fontId="0" fillId="3" borderId="0" xfId="0" applyNumberFormat="1" applyFill="1" applyAlignment="1">
      <alignment horizontal="right"/>
    </xf>
    <xf numFmtId="3" fontId="1" fillId="3" borderId="0" xfId="0" applyNumberFormat="1" applyFont="1" applyFill="1" applyAlignment="1">
      <alignment horizontal="right"/>
    </xf>
    <xf numFmtId="3" fontId="0" fillId="3" borderId="0" xfId="0" applyNumberFormat="1" applyFill="1" applyAlignment="1">
      <alignment horizontal="right" vertical="center"/>
    </xf>
    <xf numFmtId="3" fontId="1" fillId="3" borderId="0" xfId="0" applyNumberFormat="1" applyFont="1" applyFill="1" applyAlignment="1">
      <alignment horizontal="right" vertical="center"/>
    </xf>
    <xf numFmtId="0" fontId="0" fillId="0" borderId="0" xfId="0" applyFill="1" applyAlignment="1">
      <alignment horizontal="left" wrapText="1" indent="1"/>
    </xf>
    <xf numFmtId="0" fontId="1" fillId="0" borderId="0" xfId="0" applyFont="1" applyFill="1"/>
    <xf numFmtId="0" fontId="0" fillId="0" borderId="0" xfId="0" applyAlignment="1"/>
    <xf numFmtId="0" fontId="17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1" fillId="0" borderId="0" xfId="0" applyFont="1" applyAlignment="1"/>
    <xf numFmtId="3" fontId="0" fillId="0" borderId="0" xfId="0" applyNumberFormat="1" applyAlignment="1"/>
    <xf numFmtId="3" fontId="1" fillId="0" borderId="0" xfId="0" applyNumberFormat="1" applyFont="1" applyAlignment="1"/>
    <xf numFmtId="0" fontId="0" fillId="0" borderId="0" xfId="0" applyFont="1" applyAlignment="1"/>
    <xf numFmtId="3" fontId="0" fillId="0" borderId="0" xfId="0" applyNumberFormat="1" applyAlignment="1">
      <alignment horizontal="left" indent="1"/>
    </xf>
    <xf numFmtId="0" fontId="2" fillId="0" borderId="0" xfId="0" applyFont="1" applyAlignment="1"/>
    <xf numFmtId="4" fontId="0" fillId="0" borderId="0" xfId="0" applyNumberFormat="1" applyAlignment="1"/>
    <xf numFmtId="3" fontId="0" fillId="0" borderId="0" xfId="0" applyNumberFormat="1" applyAlignment="1">
      <alignment wrapText="1"/>
    </xf>
    <xf numFmtId="0" fontId="21" fillId="0" borderId="0" xfId="0" applyFont="1" applyAlignment="1">
      <alignment horizontal="left" vertical="center" wrapText="1"/>
    </xf>
    <xf numFmtId="0" fontId="21" fillId="4" borderId="0" xfId="0" applyFont="1" applyFill="1" applyAlignment="1">
      <alignment horizontal="left" vertical="center" wrapText="1"/>
    </xf>
    <xf numFmtId="0" fontId="23" fillId="0" borderId="0" xfId="0" applyFont="1" applyAlignment="1">
      <alignment vertical="center" wrapText="1"/>
    </xf>
    <xf numFmtId="0" fontId="22" fillId="0" borderId="0" xfId="0" applyFont="1" applyAlignment="1">
      <alignment vertical="center" wrapText="1"/>
    </xf>
    <xf numFmtId="0" fontId="22" fillId="0" borderId="5" xfId="0" applyFont="1" applyBorder="1" applyAlignment="1">
      <alignment vertical="center" wrapText="1"/>
    </xf>
    <xf numFmtId="0" fontId="21" fillId="0" borderId="0" xfId="0" applyFont="1" applyAlignment="1">
      <alignment vertical="center" wrapText="1"/>
    </xf>
    <xf numFmtId="0" fontId="21" fillId="4" borderId="0" xfId="0" applyFont="1" applyFill="1" applyAlignment="1">
      <alignment vertical="center" wrapText="1"/>
    </xf>
    <xf numFmtId="0" fontId="21" fillId="4" borderId="4" xfId="0" applyFont="1" applyFill="1" applyBorder="1" applyAlignment="1">
      <alignment vertical="center" wrapText="1"/>
    </xf>
    <xf numFmtId="0" fontId="21" fillId="0" borderId="5" xfId="0" applyFont="1" applyBorder="1" applyAlignment="1">
      <alignment vertical="center" wrapText="1"/>
    </xf>
    <xf numFmtId="0" fontId="20" fillId="4" borderId="0" xfId="0" applyFont="1" applyFill="1" applyAlignment="1">
      <alignment vertical="center" wrapText="1"/>
    </xf>
    <xf numFmtId="3" fontId="21" fillId="0" borderId="0" xfId="0" applyNumberFormat="1" applyFont="1" applyAlignment="1">
      <alignment vertical="center" wrapText="1"/>
    </xf>
    <xf numFmtId="0" fontId="21" fillId="0" borderId="4" xfId="0" applyFont="1" applyBorder="1" applyAlignment="1">
      <alignment vertical="center" wrapText="1"/>
    </xf>
    <xf numFmtId="3" fontId="21" fillId="4" borderId="0" xfId="0" applyNumberFormat="1" applyFont="1" applyFill="1" applyAlignment="1">
      <alignment vertical="center" wrapText="1"/>
    </xf>
    <xf numFmtId="3" fontId="21" fillId="0" borderId="4" xfId="0" applyNumberFormat="1" applyFont="1" applyBorder="1" applyAlignment="1">
      <alignment vertical="center" wrapText="1"/>
    </xf>
    <xf numFmtId="3" fontId="21" fillId="4" borderId="6" xfId="0" applyNumberFormat="1" applyFont="1" applyFill="1" applyBorder="1" applyAlignment="1">
      <alignment vertical="center" wrapText="1"/>
    </xf>
    <xf numFmtId="3" fontId="20" fillId="4" borderId="4" xfId="0" applyNumberFormat="1" applyFont="1" applyFill="1" applyBorder="1" applyAlignment="1">
      <alignment vertical="center" wrapText="1"/>
    </xf>
    <xf numFmtId="0" fontId="1" fillId="3" borderId="0" xfId="0" applyFont="1" applyFill="1" applyAlignment="1"/>
    <xf numFmtId="3" fontId="1" fillId="3" borderId="0" xfId="0" applyNumberFormat="1" applyFont="1" applyFill="1" applyAlignment="1"/>
    <xf numFmtId="0" fontId="0" fillId="0" borderId="0" xfId="0" applyFont="1" applyAlignment="1">
      <alignment horizontal="center" wrapText="1"/>
    </xf>
    <xf numFmtId="3" fontId="4" fillId="0" borderId="0" xfId="5" applyNumberFormat="1" applyFont="1" applyAlignment="1"/>
    <xf numFmtId="3" fontId="4" fillId="0" borderId="0" xfId="2" applyNumberFormat="1" applyFont="1" applyAlignment="1"/>
    <xf numFmtId="3" fontId="4" fillId="0" borderId="0" xfId="3" applyNumberFormat="1" applyFont="1" applyAlignment="1"/>
    <xf numFmtId="3" fontId="4" fillId="2" borderId="0" xfId="5" applyNumberFormat="1" applyFont="1" applyFill="1" applyAlignment="1"/>
    <xf numFmtId="3" fontId="4" fillId="2" borderId="0" xfId="3" applyNumberFormat="1" applyFont="1" applyFill="1" applyAlignment="1"/>
    <xf numFmtId="3" fontId="9" fillId="0" borderId="0" xfId="5" applyNumberFormat="1" applyFont="1" applyAlignment="1"/>
    <xf numFmtId="3" fontId="4" fillId="2" borderId="0" xfId="3" applyNumberFormat="1" applyFont="1" applyFill="1" applyBorder="1" applyAlignment="1"/>
    <xf numFmtId="0" fontId="4" fillId="0" borderId="0" xfId="2" applyFont="1" applyAlignment="1"/>
    <xf numFmtId="3" fontId="9" fillId="0" borderId="0" xfId="2" applyNumberFormat="1" applyFont="1" applyAlignment="1"/>
    <xf numFmtId="3" fontId="9" fillId="2" borderId="0" xfId="2" applyNumberFormat="1" applyFont="1" applyFill="1" applyAlignment="1"/>
    <xf numFmtId="10" fontId="4" fillId="0" borderId="0" xfId="1" applyNumberFormat="1" applyFont="1" applyAlignment="1"/>
    <xf numFmtId="0" fontId="7" fillId="0" borderId="0" xfId="0" applyFont="1"/>
    <xf numFmtId="0" fontId="7" fillId="0" borderId="0" xfId="0" applyFont="1" applyFill="1"/>
    <xf numFmtId="3" fontId="1" fillId="0" borderId="0" xfId="0" applyNumberFormat="1" applyFont="1" applyFill="1"/>
    <xf numFmtId="0" fontId="9" fillId="0" borderId="7" xfId="2" applyFont="1" applyBorder="1"/>
    <xf numFmtId="0" fontId="9" fillId="0" borderId="7" xfId="2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169" fontId="1" fillId="0" borderId="0" xfId="3" applyNumberFormat="1" applyFont="1"/>
    <xf numFmtId="0" fontId="9" fillId="0" borderId="8" xfId="2" applyFont="1" applyBorder="1"/>
    <xf numFmtId="169" fontId="1" fillId="0" borderId="8" xfId="3" applyNumberFormat="1" applyFont="1" applyBorder="1"/>
    <xf numFmtId="168" fontId="9" fillId="0" borderId="7" xfId="2" applyNumberFormat="1" applyFont="1" applyBorder="1"/>
    <xf numFmtId="168" fontId="9" fillId="0" borderId="7" xfId="2" applyNumberFormat="1" applyFont="1" applyBorder="1" applyAlignment="1">
      <alignment horizontal="center"/>
    </xf>
    <xf numFmtId="168" fontId="9" fillId="0" borderId="9" xfId="2" applyNumberFormat="1" applyFont="1" applyBorder="1"/>
    <xf numFmtId="170" fontId="4" fillId="0" borderId="0" xfId="2" applyNumberFormat="1" applyFont="1"/>
    <xf numFmtId="168" fontId="9" fillId="0" borderId="8" xfId="2" applyNumberFormat="1" applyFont="1" applyBorder="1"/>
    <xf numFmtId="3" fontId="9" fillId="0" borderId="8" xfId="2" applyNumberFormat="1" applyFont="1" applyBorder="1"/>
    <xf numFmtId="0" fontId="6" fillId="6" borderId="0" xfId="0" applyFont="1" applyFill="1"/>
    <xf numFmtId="2" fontId="0" fillId="6" borderId="0" xfId="0" applyNumberFormat="1" applyFont="1" applyFill="1"/>
    <xf numFmtId="164" fontId="13" fillId="0" borderId="0" xfId="0" applyNumberFormat="1" applyFont="1" applyFill="1" applyAlignment="1">
      <alignment vertical="center"/>
    </xf>
    <xf numFmtId="164" fontId="0" fillId="0" borderId="0" xfId="0" applyNumberFormat="1" applyFill="1"/>
    <xf numFmtId="0" fontId="24" fillId="0" borderId="0" xfId="0" applyFont="1" applyAlignment="1">
      <alignment vertical="center" wrapText="1"/>
    </xf>
    <xf numFmtId="0" fontId="11" fillId="0" borderId="0" xfId="7"/>
    <xf numFmtId="0" fontId="1" fillId="0" borderId="0" xfId="0" applyFont="1" applyAlignment="1">
      <alignment horizontal="left" wrapText="1"/>
    </xf>
    <xf numFmtId="3" fontId="19" fillId="0" borderId="0" xfId="0" applyNumberFormat="1" applyFont="1" applyFill="1" applyAlignment="1">
      <alignment vertical="center"/>
    </xf>
    <xf numFmtId="0" fontId="19" fillId="0" borderId="0" xfId="0" applyFont="1" applyFill="1" applyAlignment="1">
      <alignment vertical="center"/>
    </xf>
    <xf numFmtId="3" fontId="1" fillId="0" borderId="0" xfId="0" applyNumberFormat="1" applyFont="1" applyAlignment="1">
      <alignment wrapText="1"/>
    </xf>
    <xf numFmtId="0" fontId="13" fillId="0" borderId="0" xfId="0" applyFont="1" applyFill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3" fontId="13" fillId="0" borderId="0" xfId="0" applyNumberFormat="1" applyFont="1" applyFill="1" applyBorder="1" applyAlignment="1">
      <alignment vertical="center"/>
    </xf>
    <xf numFmtId="3" fontId="13" fillId="0" borderId="0" xfId="0" applyNumberFormat="1" applyFont="1" applyFill="1" applyBorder="1" applyAlignment="1"/>
    <xf numFmtId="0" fontId="0" fillId="0" borderId="0" xfId="0" applyFont="1" applyFill="1" applyBorder="1"/>
    <xf numFmtId="3" fontId="0" fillId="0" borderId="0" xfId="0" applyNumberFormat="1" applyFont="1" applyFill="1" applyBorder="1"/>
    <xf numFmtId="3" fontId="0" fillId="0" borderId="0" xfId="0" applyNumberFormat="1" applyAlignment="1">
      <alignment horizontal="right" vertical="center" wrapText="1"/>
    </xf>
    <xf numFmtId="3" fontId="1" fillId="0" borderId="0" xfId="0" applyNumberFormat="1" applyFont="1" applyAlignment="1">
      <alignment horizontal="right" wrapText="1"/>
    </xf>
    <xf numFmtId="0" fontId="16" fillId="0" borderId="0" xfId="0" applyFont="1" applyAlignment="1">
      <alignment wrapText="1"/>
    </xf>
    <xf numFmtId="3" fontId="1" fillId="0" borderId="0" xfId="0" applyNumberFormat="1" applyFont="1" applyAlignment="1">
      <alignment vertical="center"/>
    </xf>
    <xf numFmtId="0" fontId="26" fillId="0" borderId="0" xfId="0" applyFont="1" applyAlignment="1">
      <alignment vertical="top" wrapText="1"/>
    </xf>
    <xf numFmtId="171" fontId="26" fillId="0" borderId="0" xfId="0" applyNumberFormat="1" applyFont="1" applyAlignment="1">
      <alignment horizontal="right" vertical="top"/>
    </xf>
    <xf numFmtId="37" fontId="26" fillId="0" borderId="0" xfId="0" applyNumberFormat="1" applyFont="1" applyAlignment="1">
      <alignment horizontal="right" vertical="top"/>
    </xf>
    <xf numFmtId="3" fontId="0" fillId="0" borderId="0" xfId="0" applyNumberFormat="1" applyFont="1" applyAlignment="1"/>
    <xf numFmtId="0" fontId="27" fillId="0" borderId="0" xfId="0" applyFont="1" applyAlignment="1">
      <alignment vertical="top" wrapText="1"/>
    </xf>
    <xf numFmtId="0" fontId="27" fillId="0" borderId="0" xfId="0" applyFont="1" applyAlignment="1">
      <alignment vertical="center" wrapText="1"/>
    </xf>
    <xf numFmtId="0" fontId="26" fillId="0" borderId="0" xfId="0" applyFont="1" applyAlignment="1">
      <alignment horizontal="center" vertical="center" wrapText="1"/>
    </xf>
    <xf numFmtId="172" fontId="26" fillId="0" borderId="0" xfId="0" applyNumberFormat="1" applyFont="1" applyAlignment="1">
      <alignment horizontal="right" vertical="top"/>
    </xf>
    <xf numFmtId="39" fontId="26" fillId="0" borderId="0" xfId="0" applyNumberFormat="1" applyFont="1" applyAlignment="1">
      <alignment horizontal="right" vertical="top"/>
    </xf>
    <xf numFmtId="173" fontId="26" fillId="0" borderId="0" xfId="0" applyNumberFormat="1" applyFont="1" applyAlignment="1">
      <alignment horizontal="right" vertical="top"/>
    </xf>
    <xf numFmtId="0" fontId="26" fillId="0" borderId="0" xfId="0" applyFont="1" applyAlignment="1">
      <alignment vertical="center"/>
    </xf>
    <xf numFmtId="0" fontId="0" fillId="0" borderId="0" xfId="0" applyFont="1" applyAlignment="1">
      <alignment wrapText="1"/>
    </xf>
    <xf numFmtId="0" fontId="0" fillId="5" borderId="0" xfId="0" applyFill="1"/>
    <xf numFmtId="0" fontId="28" fillId="7" borderId="0" xfId="0" applyFont="1" applyFill="1" applyAlignment="1">
      <alignment horizontal="center" vertical="center" wrapText="1"/>
    </xf>
    <xf numFmtId="0" fontId="30" fillId="8" borderId="0" xfId="0" applyFont="1" applyFill="1" applyAlignment="1">
      <alignment vertical="center" wrapText="1"/>
    </xf>
    <xf numFmtId="0" fontId="29" fillId="8" borderId="0" xfId="0" applyFont="1" applyFill="1" applyAlignment="1">
      <alignment horizontal="left" vertical="center" wrapText="1"/>
    </xf>
    <xf numFmtId="0" fontId="30" fillId="5" borderId="0" xfId="0" applyFont="1" applyFill="1" applyAlignment="1">
      <alignment vertical="center" wrapText="1"/>
    </xf>
    <xf numFmtId="164" fontId="29" fillId="5" borderId="0" xfId="0" applyNumberFormat="1" applyFont="1" applyFill="1" applyAlignment="1">
      <alignment horizontal="right" vertical="center" indent="2"/>
    </xf>
    <xf numFmtId="3" fontId="29" fillId="8" borderId="0" xfId="0" applyNumberFormat="1" applyFont="1" applyFill="1" applyAlignment="1">
      <alignment horizontal="right" vertical="center" indent="2"/>
    </xf>
    <xf numFmtId="0" fontId="29" fillId="5" borderId="0" xfId="0" applyFont="1" applyFill="1" applyAlignment="1">
      <alignment horizontal="left" vertical="center" wrapText="1"/>
    </xf>
    <xf numFmtId="3" fontId="29" fillId="5" borderId="0" xfId="0" applyNumberFormat="1" applyFont="1" applyFill="1" applyAlignment="1">
      <alignment horizontal="right" vertical="center" indent="2"/>
    </xf>
    <xf numFmtId="0" fontId="29" fillId="8" borderId="0" xfId="0" applyFont="1" applyFill="1" applyAlignment="1">
      <alignment horizontal="right" vertical="center" indent="2"/>
    </xf>
    <xf numFmtId="0" fontId="29" fillId="5" borderId="0" xfId="0" applyFont="1" applyFill="1" applyAlignment="1">
      <alignment horizontal="right" vertical="center" indent="2"/>
    </xf>
    <xf numFmtId="0" fontId="29" fillId="8" borderId="0" xfId="0" applyFont="1" applyFill="1" applyAlignment="1">
      <alignment horizontal="right" vertical="center"/>
    </xf>
    <xf numFmtId="165" fontId="29" fillId="8" borderId="0" xfId="0" applyNumberFormat="1" applyFont="1" applyFill="1" applyAlignment="1">
      <alignment horizontal="right" vertical="center" indent="2"/>
    </xf>
    <xf numFmtId="165" fontId="29" fillId="5" borderId="0" xfId="0" applyNumberFormat="1" applyFont="1" applyFill="1" applyAlignment="1">
      <alignment horizontal="right" vertical="center" indent="2"/>
    </xf>
    <xf numFmtId="0" fontId="31" fillId="7" borderId="0" xfId="0" applyFont="1" applyFill="1" applyAlignment="1">
      <alignment vertical="center" wrapText="1"/>
    </xf>
    <xf numFmtId="0" fontId="28" fillId="7" borderId="0" xfId="0" applyFont="1" applyFill="1" applyAlignment="1">
      <alignment horizontal="left" vertical="center" wrapText="1"/>
    </xf>
    <xf numFmtId="164" fontId="29" fillId="8" borderId="0" xfId="0" applyNumberFormat="1" applyFont="1" applyFill="1" applyAlignment="1">
      <alignment horizontal="right" vertical="center" indent="2"/>
    </xf>
    <xf numFmtId="0" fontId="22" fillId="5" borderId="0" xfId="0" applyFont="1" applyFill="1" applyAlignment="1">
      <alignment vertical="center" wrapText="1"/>
    </xf>
    <xf numFmtId="0" fontId="28" fillId="7" borderId="14" xfId="0" applyFont="1" applyFill="1" applyBorder="1" applyAlignment="1">
      <alignment horizontal="center" vertical="center" wrapText="1"/>
    </xf>
    <xf numFmtId="0" fontId="11" fillId="8" borderId="13" xfId="7" applyFill="1" applyBorder="1" applyAlignment="1">
      <alignment horizontal="left" vertical="top" wrapText="1"/>
    </xf>
    <xf numFmtId="0" fontId="29" fillId="8" borderId="14" xfId="0" applyFont="1" applyFill="1" applyBorder="1" applyAlignment="1">
      <alignment horizontal="left" vertical="center" wrapText="1"/>
    </xf>
    <xf numFmtId="0" fontId="11" fillId="5" borderId="13" xfId="7" applyFill="1" applyBorder="1" applyAlignment="1">
      <alignment horizontal="left" vertical="top" wrapText="1"/>
    </xf>
    <xf numFmtId="164" fontId="29" fillId="5" borderId="14" xfId="0" applyNumberFormat="1" applyFont="1" applyFill="1" applyBorder="1" applyAlignment="1">
      <alignment horizontal="right" vertical="center" indent="2"/>
    </xf>
    <xf numFmtId="3" fontId="29" fillId="8" borderId="14" xfId="0" applyNumberFormat="1" applyFont="1" applyFill="1" applyBorder="1" applyAlignment="1">
      <alignment horizontal="right" vertical="center" indent="2"/>
    </xf>
    <xf numFmtId="0" fontId="29" fillId="5" borderId="14" xfId="0" applyFont="1" applyFill="1" applyBorder="1" applyAlignment="1">
      <alignment horizontal="left" vertical="center" wrapText="1"/>
    </xf>
    <xf numFmtId="3" fontId="29" fillId="5" borderId="14" xfId="0" applyNumberFormat="1" applyFont="1" applyFill="1" applyBorder="1" applyAlignment="1">
      <alignment horizontal="right" vertical="center" indent="2"/>
    </xf>
    <xf numFmtId="0" fontId="29" fillId="8" borderId="14" xfId="0" applyFont="1" applyFill="1" applyBorder="1" applyAlignment="1">
      <alignment horizontal="right" vertical="center" indent="2"/>
    </xf>
    <xf numFmtId="0" fontId="29" fillId="5" borderId="14" xfId="0" applyFont="1" applyFill="1" applyBorder="1" applyAlignment="1">
      <alignment horizontal="right" vertical="center" indent="2"/>
    </xf>
    <xf numFmtId="165" fontId="29" fillId="8" borderId="14" xfId="0" applyNumberFormat="1" applyFont="1" applyFill="1" applyBorder="1" applyAlignment="1">
      <alignment horizontal="right" vertical="center" indent="2"/>
    </xf>
    <xf numFmtId="165" fontId="29" fillId="5" borderId="14" xfId="0" applyNumberFormat="1" applyFont="1" applyFill="1" applyBorder="1" applyAlignment="1">
      <alignment horizontal="right" vertical="center" indent="2"/>
    </xf>
    <xf numFmtId="0" fontId="11" fillId="7" borderId="13" xfId="7" applyFill="1" applyBorder="1" applyAlignment="1">
      <alignment horizontal="left" vertical="top" wrapText="1"/>
    </xf>
    <xf numFmtId="0" fontId="28" fillId="7" borderId="14" xfId="0" applyFont="1" applyFill="1" applyBorder="1" applyAlignment="1">
      <alignment horizontal="left" vertical="center" wrapText="1"/>
    </xf>
    <xf numFmtId="164" fontId="29" fillId="8" borderId="14" xfId="0" applyNumberFormat="1" applyFont="1" applyFill="1" applyBorder="1" applyAlignment="1">
      <alignment horizontal="right" vertical="center" indent="2"/>
    </xf>
    <xf numFmtId="0" fontId="0" fillId="5" borderId="14" xfId="0" applyFill="1" applyBorder="1"/>
    <xf numFmtId="0" fontId="0" fillId="5" borderId="13" xfId="0" applyFill="1" applyBorder="1" applyAlignment="1">
      <alignment vertical="top" wrapText="1"/>
    </xf>
    <xf numFmtId="0" fontId="0" fillId="5" borderId="15" xfId="0" applyFill="1" applyBorder="1" applyAlignment="1">
      <alignment vertical="top" wrapText="1"/>
    </xf>
    <xf numFmtId="0" fontId="22" fillId="5" borderId="16" xfId="0" applyFont="1" applyFill="1" applyBorder="1" applyAlignment="1">
      <alignment vertical="center" wrapText="1"/>
    </xf>
    <xf numFmtId="0" fontId="0" fillId="5" borderId="16" xfId="0" applyFill="1" applyBorder="1"/>
    <xf numFmtId="0" fontId="0" fillId="5" borderId="17" xfId="0" applyFill="1" applyBorder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wrapText="1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Fill="1" applyAlignment="1">
      <alignment horizont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8" fillId="7" borderId="13" xfId="0" applyFont="1" applyFill="1" applyBorder="1" applyAlignment="1">
      <alignment horizontal="center" vertical="center" wrapText="1"/>
    </xf>
    <xf numFmtId="0" fontId="28" fillId="7" borderId="0" xfId="0" applyFont="1" applyFill="1" applyBorder="1" applyAlignment="1">
      <alignment horizontal="center" vertical="center" wrapText="1"/>
    </xf>
    <xf numFmtId="0" fontId="28" fillId="7" borderId="11" xfId="0" applyFont="1" applyFill="1" applyBorder="1" applyAlignment="1">
      <alignment horizontal="center" vertical="center" wrapText="1"/>
    </xf>
    <xf numFmtId="0" fontId="28" fillId="7" borderId="12" xfId="0" applyFont="1" applyFill="1" applyBorder="1" applyAlignment="1">
      <alignment horizontal="center" vertical="center" wrapText="1"/>
    </xf>
    <xf numFmtId="0" fontId="29" fillId="5" borderId="13" xfId="0" applyFont="1" applyFill="1" applyBorder="1" applyAlignment="1">
      <alignment vertical="center" wrapText="1"/>
    </xf>
    <xf numFmtId="0" fontId="29" fillId="5" borderId="0" xfId="0" applyFont="1" applyFill="1" applyBorder="1" applyAlignment="1">
      <alignment vertical="center" wrapText="1"/>
    </xf>
    <xf numFmtId="0" fontId="28" fillId="7" borderId="10" xfId="0" applyFont="1" applyFill="1" applyBorder="1" applyAlignment="1">
      <alignment horizontal="center" vertical="center" wrapText="1"/>
    </xf>
    <xf numFmtId="0" fontId="5" fillId="0" borderId="0" xfId="2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0" xfId="2" applyFont="1" applyAlignment="1">
      <alignment horizontal="center"/>
    </xf>
    <xf numFmtId="0" fontId="1" fillId="0" borderId="1" xfId="0" applyFont="1" applyBorder="1" applyAlignment="1">
      <alignment horizontal="center" vertical="center" wrapText="1"/>
    </xf>
  </cellXfs>
  <cellStyles count="8">
    <cellStyle name="Comma 2" xfId="3" xr:uid="{00000000-0005-0000-0000-000000000000}"/>
    <cellStyle name="Currency 2" xfId="4" xr:uid="{00000000-0005-0000-0000-000001000000}"/>
    <cellStyle name="Hyperlink" xfId="7" builtinId="8"/>
    <cellStyle name="Normal" xfId="0" builtinId="0"/>
    <cellStyle name="Normal 2" xfId="2" xr:uid="{00000000-0005-0000-0000-000003000000}"/>
    <cellStyle name="Normal 3" xfId="5" xr:uid="{00000000-0005-0000-0000-000004000000}"/>
    <cellStyle name="Percent" xfId="1" builtinId="5"/>
    <cellStyle name="Percent 2" xfId="6" xr:uid="{00000000-0005-0000-0000-000006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1158875</xdr:colOff>
      <xdr:row>22</xdr:row>
      <xdr:rowOff>98425</xdr:rowOff>
    </xdr:from>
    <xdr:to>
      <xdr:col>1</xdr:col>
      <xdr:colOff>101600</xdr:colOff>
      <xdr:row>24</xdr:row>
      <xdr:rowOff>1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F7D43632-6500-4C9D-A3C8-1D30981E9DC7}"/>
            </a:ext>
          </a:extLst>
        </xdr:cNvPr>
        <xdr:cNvCxnSpPr/>
      </xdr:nvCxnSpPr>
      <xdr:spPr>
        <a:xfrm flipV="1">
          <a:off x="1158875" y="4432300"/>
          <a:ext cx="1425575" cy="276226"/>
        </a:xfrm>
        <a:prstGeom prst="straightConnector1">
          <a:avLst/>
        </a:prstGeom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1450975</xdr:colOff>
      <xdr:row>22</xdr:row>
      <xdr:rowOff>107951</xdr:rowOff>
    </xdr:from>
    <xdr:to>
      <xdr:col>4</xdr:col>
      <xdr:colOff>123825</xdr:colOff>
      <xdr:row>24</xdr:row>
      <xdr:rowOff>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F3B39F90-B6CD-4556-814F-E09991F90A01}"/>
            </a:ext>
          </a:extLst>
        </xdr:cNvPr>
        <xdr:cNvCxnSpPr/>
      </xdr:nvCxnSpPr>
      <xdr:spPr>
        <a:xfrm flipV="1">
          <a:off x="4686300" y="4441826"/>
          <a:ext cx="1654175" cy="266699"/>
        </a:xfrm>
        <a:prstGeom prst="straightConnector1">
          <a:avLst/>
        </a:prstGeom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17</xdr:row>
      <xdr:rowOff>85725</xdr:rowOff>
    </xdr:from>
    <xdr:to>
      <xdr:col>1</xdr:col>
      <xdr:colOff>114300</xdr:colOff>
      <xdr:row>21</xdr:row>
      <xdr:rowOff>9526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8B800C07-4A6D-4B26-8BBD-13831022691E}"/>
            </a:ext>
          </a:extLst>
        </xdr:cNvPr>
        <xdr:cNvCxnSpPr/>
      </xdr:nvCxnSpPr>
      <xdr:spPr>
        <a:xfrm flipV="1">
          <a:off x="2568575" y="3511550"/>
          <a:ext cx="28575" cy="68580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984250</xdr:colOff>
      <xdr:row>13</xdr:row>
      <xdr:rowOff>95250</xdr:rowOff>
    </xdr:from>
    <xdr:to>
      <xdr:col>1</xdr:col>
      <xdr:colOff>101600</xdr:colOff>
      <xdr:row>19</xdr:row>
      <xdr:rowOff>9527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BDBDA25B-B6D1-42DE-B882-4027CD7A1908}"/>
            </a:ext>
          </a:extLst>
        </xdr:cNvPr>
        <xdr:cNvCxnSpPr/>
      </xdr:nvCxnSpPr>
      <xdr:spPr>
        <a:xfrm flipV="1">
          <a:off x="984250" y="2787650"/>
          <a:ext cx="1600200" cy="102235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1473200</xdr:colOff>
      <xdr:row>17</xdr:row>
      <xdr:rowOff>92075</xdr:rowOff>
    </xdr:from>
    <xdr:to>
      <xdr:col>4</xdr:col>
      <xdr:colOff>130175</xdr:colOff>
      <xdr:row>19</xdr:row>
      <xdr:rowOff>0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39B5BE1B-B681-43A3-916F-BC0064B4DF99}"/>
            </a:ext>
          </a:extLst>
        </xdr:cNvPr>
        <xdr:cNvCxnSpPr/>
      </xdr:nvCxnSpPr>
      <xdr:spPr>
        <a:xfrm flipV="1">
          <a:off x="4708525" y="3517900"/>
          <a:ext cx="1638300" cy="28257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3185160</xdr:colOff>
      <xdr:row>3</xdr:row>
      <xdr:rowOff>99695</xdr:rowOff>
    </xdr:from>
    <xdr:to>
      <xdr:col>1</xdr:col>
      <xdr:colOff>61595</xdr:colOff>
      <xdr:row>29</xdr:row>
      <xdr:rowOff>129540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AC2EAA75-EB64-4F16-AFB8-5FF8DB9562D5}"/>
            </a:ext>
          </a:extLst>
        </xdr:cNvPr>
        <xdr:cNvCxnSpPr/>
      </xdr:nvCxnSpPr>
      <xdr:spPr>
        <a:xfrm flipV="1">
          <a:off x="3185160" y="1036955"/>
          <a:ext cx="130175" cy="496760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2235200</xdr:colOff>
      <xdr:row>3</xdr:row>
      <xdr:rowOff>165100</xdr:rowOff>
    </xdr:from>
    <xdr:to>
      <xdr:col>4</xdr:col>
      <xdr:colOff>44450</xdr:colOff>
      <xdr:row>6</xdr:row>
      <xdr:rowOff>111125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67DF1852-E3B3-4A80-B187-F6D514FA341C}"/>
            </a:ext>
          </a:extLst>
        </xdr:cNvPr>
        <xdr:cNvCxnSpPr/>
      </xdr:nvCxnSpPr>
      <xdr:spPr>
        <a:xfrm>
          <a:off x="5861050" y="755650"/>
          <a:ext cx="333375" cy="4921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2186940</xdr:colOff>
      <xdr:row>3</xdr:row>
      <xdr:rowOff>15240</xdr:rowOff>
    </xdr:from>
    <xdr:to>
      <xdr:col>1</xdr:col>
      <xdr:colOff>61595</xdr:colOff>
      <xdr:row>5</xdr:row>
      <xdr:rowOff>23495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FB61D59E-8AD7-495E-92BD-BCF0D6BB00BA}"/>
            </a:ext>
          </a:extLst>
        </xdr:cNvPr>
        <xdr:cNvCxnSpPr/>
      </xdr:nvCxnSpPr>
      <xdr:spPr>
        <a:xfrm>
          <a:off x="2186940" y="624840"/>
          <a:ext cx="755015" cy="37401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2273300</xdr:colOff>
      <xdr:row>3</xdr:row>
      <xdr:rowOff>171450</xdr:rowOff>
    </xdr:from>
    <xdr:to>
      <xdr:col>4</xdr:col>
      <xdr:colOff>60326</xdr:colOff>
      <xdr:row>9</xdr:row>
      <xdr:rowOff>130175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6B227676-9496-4A19-A8F6-957DB5602200}"/>
            </a:ext>
          </a:extLst>
        </xdr:cNvPr>
        <xdr:cNvCxnSpPr/>
      </xdr:nvCxnSpPr>
      <xdr:spPr>
        <a:xfrm>
          <a:off x="6683375" y="1206500"/>
          <a:ext cx="311151" cy="10509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2273300</xdr:colOff>
      <xdr:row>16</xdr:row>
      <xdr:rowOff>171450</xdr:rowOff>
    </xdr:from>
    <xdr:to>
      <xdr:col>4</xdr:col>
      <xdr:colOff>6350</xdr:colOff>
      <xdr:row>19</xdr:row>
      <xdr:rowOff>111125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DBDD6215-A4D4-43FD-AEEA-2BC920D0D4A8}"/>
            </a:ext>
          </a:extLst>
        </xdr:cNvPr>
        <xdr:cNvCxnSpPr/>
      </xdr:nvCxnSpPr>
      <xdr:spPr>
        <a:xfrm>
          <a:off x="7124700" y="3819525"/>
          <a:ext cx="311150" cy="48895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1968500</xdr:colOff>
      <xdr:row>20</xdr:row>
      <xdr:rowOff>190500</xdr:rowOff>
    </xdr:from>
    <xdr:to>
      <xdr:col>0</xdr:col>
      <xdr:colOff>2578100</xdr:colOff>
      <xdr:row>20</xdr:row>
      <xdr:rowOff>200025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F260CCC-B173-4E1A-B211-22E34A382021}"/>
            </a:ext>
          </a:extLst>
        </xdr:cNvPr>
        <xdr:cNvCxnSpPr/>
      </xdr:nvCxnSpPr>
      <xdr:spPr>
        <a:xfrm>
          <a:off x="1968500" y="4216400"/>
          <a:ext cx="609600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sec.gov/cgi-bin/viewer?action=view&amp;cik=18230&amp;accession_number=0000018230-20-000056&amp;xbrl_type=v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www.sec.gov/cgi-bin/viewer?action=view&amp;cik=315189&amp;accession_number=0001558370-19-011614&amp;xbrl_type=v" TargetMode="Externa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hyperlink" Target="javascript:void(0);" TargetMode="External"/><Relationship Id="rId18" Type="http://schemas.openxmlformats.org/officeDocument/2006/relationships/hyperlink" Target="javascript:void(0);" TargetMode="External"/><Relationship Id="rId26" Type="http://schemas.openxmlformats.org/officeDocument/2006/relationships/hyperlink" Target="javascript:void(0);" TargetMode="External"/><Relationship Id="rId3" Type="http://schemas.openxmlformats.org/officeDocument/2006/relationships/hyperlink" Target="javascript:void(0);" TargetMode="External"/><Relationship Id="rId21" Type="http://schemas.openxmlformats.org/officeDocument/2006/relationships/hyperlink" Target="javascript:void(0);" TargetMode="External"/><Relationship Id="rId34" Type="http://schemas.openxmlformats.org/officeDocument/2006/relationships/drawing" Target="../drawings/drawing6.xml"/><Relationship Id="rId7" Type="http://schemas.openxmlformats.org/officeDocument/2006/relationships/hyperlink" Target="javascript:void(0);" TargetMode="External"/><Relationship Id="rId12" Type="http://schemas.openxmlformats.org/officeDocument/2006/relationships/hyperlink" Target="javascript:void(0);" TargetMode="External"/><Relationship Id="rId17" Type="http://schemas.openxmlformats.org/officeDocument/2006/relationships/hyperlink" Target="javascript:void(0);" TargetMode="External"/><Relationship Id="rId25" Type="http://schemas.openxmlformats.org/officeDocument/2006/relationships/hyperlink" Target="javascript:void(0);" TargetMode="External"/><Relationship Id="rId33" Type="http://schemas.openxmlformats.org/officeDocument/2006/relationships/printerSettings" Target="../printerSettings/printerSettings9.bin"/><Relationship Id="rId2" Type="http://schemas.openxmlformats.org/officeDocument/2006/relationships/hyperlink" Target="javascript:void(0);" TargetMode="External"/><Relationship Id="rId16" Type="http://schemas.openxmlformats.org/officeDocument/2006/relationships/hyperlink" Target="javascript:void(0);" TargetMode="External"/><Relationship Id="rId20" Type="http://schemas.openxmlformats.org/officeDocument/2006/relationships/hyperlink" Target="javascript:void(0);" TargetMode="External"/><Relationship Id="rId29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6" Type="http://schemas.openxmlformats.org/officeDocument/2006/relationships/hyperlink" Target="javascript:void(0);" TargetMode="External"/><Relationship Id="rId11" Type="http://schemas.openxmlformats.org/officeDocument/2006/relationships/hyperlink" Target="javascript:void(0);" TargetMode="External"/><Relationship Id="rId24" Type="http://schemas.openxmlformats.org/officeDocument/2006/relationships/hyperlink" Target="javascript:void(0);" TargetMode="External"/><Relationship Id="rId32" Type="http://schemas.openxmlformats.org/officeDocument/2006/relationships/hyperlink" Target="https://www.sec.gov/cgi-bin/viewer?action=view&amp;cik=18230&amp;accession_number=0000018230-20-000056&amp;xbrl_type=v" TargetMode="External"/><Relationship Id="rId5" Type="http://schemas.openxmlformats.org/officeDocument/2006/relationships/hyperlink" Target="javascript:void(0);" TargetMode="External"/><Relationship Id="rId15" Type="http://schemas.openxmlformats.org/officeDocument/2006/relationships/hyperlink" Target="javascript:void(0);" TargetMode="External"/><Relationship Id="rId23" Type="http://schemas.openxmlformats.org/officeDocument/2006/relationships/hyperlink" Target="javascript:void(0);" TargetMode="External"/><Relationship Id="rId28" Type="http://schemas.openxmlformats.org/officeDocument/2006/relationships/hyperlink" Target="javascript:void(0);" TargetMode="External"/><Relationship Id="rId10" Type="http://schemas.openxmlformats.org/officeDocument/2006/relationships/hyperlink" Target="javascript:void(0);" TargetMode="External"/><Relationship Id="rId19" Type="http://schemas.openxmlformats.org/officeDocument/2006/relationships/hyperlink" Target="javascript:void(0);" TargetMode="External"/><Relationship Id="rId31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Relationship Id="rId9" Type="http://schemas.openxmlformats.org/officeDocument/2006/relationships/hyperlink" Target="javascript:void(0);" TargetMode="External"/><Relationship Id="rId14" Type="http://schemas.openxmlformats.org/officeDocument/2006/relationships/hyperlink" Target="javascript:void(0);" TargetMode="External"/><Relationship Id="rId22" Type="http://schemas.openxmlformats.org/officeDocument/2006/relationships/hyperlink" Target="javascript:void(0);" TargetMode="External"/><Relationship Id="rId27" Type="http://schemas.openxmlformats.org/officeDocument/2006/relationships/hyperlink" Target="javascript:void(0);" TargetMode="External"/><Relationship Id="rId30" Type="http://schemas.openxmlformats.org/officeDocument/2006/relationships/hyperlink" Target="javascript:void(0);" TargetMode="External"/><Relationship Id="rId8" Type="http://schemas.openxmlformats.org/officeDocument/2006/relationships/hyperlink" Target="javascript:void(0);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E19"/>
  <sheetViews>
    <sheetView workbookViewId="0">
      <selection sqref="A1:E19"/>
    </sheetView>
  </sheetViews>
  <sheetFormatPr defaultRowHeight="13.8"/>
  <cols>
    <col min="1" max="1" width="34" customWidth="1"/>
    <col min="2" max="2" width="8.42578125" style="9" customWidth="1"/>
    <col min="3" max="3" width="4" customWidth="1"/>
    <col min="4" max="4" width="28.85546875" bestFit="1" customWidth="1"/>
    <col min="5" max="5" width="8.42578125" style="4" customWidth="1"/>
  </cols>
  <sheetData>
    <row r="1" spans="1:5" ht="17.7">
      <c r="A1" s="221" t="s">
        <v>22</v>
      </c>
      <c r="B1" s="221"/>
      <c r="C1" s="221"/>
      <c r="D1" s="221"/>
      <c r="E1" s="221"/>
    </row>
    <row r="2" spans="1:5" s="11" customFormat="1" ht="14.1">
      <c r="A2" s="11" t="s">
        <v>0</v>
      </c>
      <c r="B2" s="12"/>
      <c r="D2" s="11" t="s">
        <v>1</v>
      </c>
      <c r="E2" s="13"/>
    </row>
    <row r="3" spans="1:5">
      <c r="A3" s="3" t="s">
        <v>23</v>
      </c>
      <c r="B3" s="10"/>
      <c r="D3" t="s">
        <v>29</v>
      </c>
    </row>
    <row r="4" spans="1:5">
      <c r="A4" s="2" t="s">
        <v>6</v>
      </c>
      <c r="B4" s="9">
        <v>1000</v>
      </c>
      <c r="D4" s="2" t="s">
        <v>21</v>
      </c>
      <c r="E4" s="4">
        <v>1500</v>
      </c>
    </row>
    <row r="5" spans="1:5">
      <c r="A5" s="2" t="s">
        <v>24</v>
      </c>
      <c r="B5" s="9">
        <v>1500</v>
      </c>
      <c r="D5" s="2" t="s">
        <v>30</v>
      </c>
      <c r="E5" s="4">
        <v>200</v>
      </c>
    </row>
    <row r="6" spans="1:5">
      <c r="A6" s="2" t="s">
        <v>18</v>
      </c>
      <c r="B6" s="9">
        <v>1500</v>
      </c>
      <c r="D6" s="2" t="s">
        <v>31</v>
      </c>
      <c r="E6" s="4">
        <v>1000</v>
      </c>
    </row>
    <row r="7" spans="1:5">
      <c r="A7" s="2" t="s">
        <v>17</v>
      </c>
      <c r="B7" s="9">
        <v>3000</v>
      </c>
      <c r="D7" s="2" t="s">
        <v>32</v>
      </c>
      <c r="E7" s="4">
        <v>500</v>
      </c>
    </row>
    <row r="9" spans="1:5">
      <c r="A9" t="s">
        <v>25</v>
      </c>
      <c r="D9" t="s">
        <v>14</v>
      </c>
      <c r="E9" s="4">
        <v>1500</v>
      </c>
    </row>
    <row r="10" spans="1:5">
      <c r="A10" s="2" t="s">
        <v>26</v>
      </c>
      <c r="B10" s="9">
        <v>150</v>
      </c>
      <c r="D10" t="s">
        <v>33</v>
      </c>
      <c r="E10" s="4">
        <v>800</v>
      </c>
    </row>
    <row r="11" spans="1:5">
      <c r="A11" s="6" t="s">
        <v>37</v>
      </c>
      <c r="B11" s="9">
        <v>2000</v>
      </c>
    </row>
    <row r="12" spans="1:5">
      <c r="A12" s="2" t="s">
        <v>27</v>
      </c>
      <c r="B12" s="9">
        <v>-700</v>
      </c>
      <c r="D12" t="s">
        <v>16</v>
      </c>
      <c r="E12" s="4">
        <v>200</v>
      </c>
    </row>
    <row r="13" spans="1:5" ht="14.1">
      <c r="A13" s="68" t="s">
        <v>28</v>
      </c>
      <c r="B13" s="12">
        <f>SUM(B10:B12)</f>
        <v>1450</v>
      </c>
      <c r="D13" t="s">
        <v>15</v>
      </c>
      <c r="E13" s="4">
        <v>100</v>
      </c>
    </row>
    <row r="15" spans="1:5">
      <c r="A15" t="s">
        <v>20</v>
      </c>
      <c r="B15" s="9">
        <v>1000</v>
      </c>
      <c r="D15" t="s">
        <v>4</v>
      </c>
    </row>
    <row r="16" spans="1:5">
      <c r="D16" s="2" t="s">
        <v>34</v>
      </c>
      <c r="E16" s="4">
        <v>1000</v>
      </c>
    </row>
    <row r="17" spans="1:5">
      <c r="A17" t="s">
        <v>337</v>
      </c>
      <c r="B17" s="9">
        <v>500</v>
      </c>
      <c r="D17" s="2" t="s">
        <v>35</v>
      </c>
      <c r="E17" s="4">
        <v>3500</v>
      </c>
    </row>
    <row r="18" spans="1:5">
      <c r="D18" s="2" t="s">
        <v>36</v>
      </c>
      <c r="E18" s="4">
        <f>-350</f>
        <v>-350</v>
      </c>
    </row>
    <row r="19" spans="1:5" ht="14.1">
      <c r="A19" s="11" t="s">
        <v>3</v>
      </c>
      <c r="B19" s="12">
        <f>SUM(B13:B18,B4:B8)</f>
        <v>9950</v>
      </c>
      <c r="C19" s="11"/>
      <c r="D19" s="11" t="s">
        <v>2</v>
      </c>
      <c r="E19" s="13">
        <f>SUM(E3:E18)</f>
        <v>9950</v>
      </c>
    </row>
  </sheetData>
  <mergeCells count="1">
    <mergeCell ref="A1:E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E5681A-5C58-4EC5-896A-CD96A979B4BE}">
  <sheetPr codeName="Sheet7"/>
  <dimension ref="A1:E25"/>
  <sheetViews>
    <sheetView workbookViewId="0">
      <selection activeCell="B25" sqref="B25"/>
    </sheetView>
  </sheetViews>
  <sheetFormatPr defaultRowHeight="13.8"/>
  <cols>
    <col min="1" max="1" width="32.5703125" bestFit="1" customWidth="1"/>
    <col min="2" max="2" width="7.046875" style="9" customWidth="1"/>
    <col min="3" max="3" width="2.80859375" customWidth="1"/>
    <col min="4" max="4" width="39.140625" bestFit="1" customWidth="1"/>
    <col min="5" max="5" width="7.046875" style="4" customWidth="1"/>
  </cols>
  <sheetData>
    <row r="1" spans="1:5" ht="40.299999999999997" customHeight="1">
      <c r="A1" s="222" t="s">
        <v>136</v>
      </c>
      <c r="B1" s="222"/>
      <c r="C1" s="222"/>
      <c r="D1" s="222"/>
      <c r="E1" s="222"/>
    </row>
    <row r="2" spans="1:5" s="11" customFormat="1" ht="14.1">
      <c r="A2" s="11" t="s">
        <v>0</v>
      </c>
      <c r="B2" s="12"/>
      <c r="D2" s="11" t="s">
        <v>1</v>
      </c>
      <c r="E2" s="13"/>
    </row>
    <row r="3" spans="1:5">
      <c r="A3" s="70" t="s">
        <v>128</v>
      </c>
      <c r="D3" s="70" t="s">
        <v>132</v>
      </c>
    </row>
    <row r="4" spans="1:5">
      <c r="A4" s="2" t="str">
        <f>'Balance sheet'!A4</f>
        <v>Cash</v>
      </c>
      <c r="B4" s="4">
        <f>'Balance sheet'!B4</f>
        <v>1000</v>
      </c>
      <c r="D4" s="2" t="str">
        <f>'Balance sheet'!D4</f>
        <v>Accounts payable</v>
      </c>
      <c r="E4" s="4">
        <f>'Balance sheet'!E4</f>
        <v>1500</v>
      </c>
    </row>
    <row r="5" spans="1:5">
      <c r="A5" s="2" t="str">
        <f>'Balance sheet'!A5</f>
        <v>Marketable securities</v>
      </c>
      <c r="B5" s="4">
        <f>'Balance sheet'!B5</f>
        <v>1500</v>
      </c>
      <c r="D5" s="2" t="str">
        <f>'Balance sheet'!D5</f>
        <v>Taxes payable</v>
      </c>
      <c r="E5" s="4">
        <f>'Balance sheet'!E5</f>
        <v>200</v>
      </c>
    </row>
    <row r="6" spans="1:5" ht="14.1">
      <c r="A6" s="11" t="s">
        <v>129</v>
      </c>
      <c r="B6" s="12">
        <f>SUM(B4:B5)</f>
        <v>2500</v>
      </c>
      <c r="D6" s="11" t="s">
        <v>133</v>
      </c>
      <c r="E6" s="13">
        <f>SUM(E4:E5)</f>
        <v>1700</v>
      </c>
    </row>
    <row r="8" spans="1:5">
      <c r="A8" s="70" t="str">
        <f>'Balance sheet'!A13</f>
        <v>Net fixed assets</v>
      </c>
      <c r="B8" s="4"/>
      <c r="D8" s="70" t="s">
        <v>134</v>
      </c>
    </row>
    <row r="9" spans="1:5">
      <c r="A9" s="2" t="str">
        <f>'Balance sheet'!A10</f>
        <v>Land</v>
      </c>
      <c r="B9" s="4">
        <f>'Balance sheet'!B10</f>
        <v>150</v>
      </c>
      <c r="D9" s="2" t="str">
        <f>'Balance sheet'!D6</f>
        <v>Current portion of long-term debt</v>
      </c>
      <c r="E9" s="4">
        <f>'Balance sheet'!E6</f>
        <v>1000</v>
      </c>
    </row>
    <row r="10" spans="1:5">
      <c r="A10" s="2" t="str">
        <f>'Balance sheet'!A11</f>
        <v>Plant, property and equipment at cost</v>
      </c>
      <c r="B10" s="4">
        <f>'Balance sheet'!B11</f>
        <v>2000</v>
      </c>
      <c r="D10" s="2" t="str">
        <f>'Balance sheet'!D7</f>
        <v>Short-term debt</v>
      </c>
      <c r="E10" s="4">
        <f>'Balance sheet'!E7</f>
        <v>500</v>
      </c>
    </row>
    <row r="11" spans="1:5">
      <c r="A11" s="2" t="str">
        <f>'Balance sheet'!A12</f>
        <v>Minus accumulated depreciation</v>
      </c>
      <c r="B11" s="4">
        <f>'Balance sheet'!B12</f>
        <v>-700</v>
      </c>
      <c r="D11" s="2" t="str">
        <f>'Balance sheet'!D9</f>
        <v>Long-term debt</v>
      </c>
      <c r="E11" s="4">
        <f>'Balance sheet'!E9</f>
        <v>1500</v>
      </c>
    </row>
    <row r="12" spans="1:5" ht="14.1">
      <c r="A12" s="11" t="s">
        <v>28</v>
      </c>
      <c r="B12" s="12">
        <f>SUM(B9:B11)</f>
        <v>1450</v>
      </c>
      <c r="D12" s="2" t="str">
        <f>'Balance sheet'!D10</f>
        <v>Pension liabilities</v>
      </c>
      <c r="E12" s="4">
        <f>'Balance sheet'!E10</f>
        <v>800</v>
      </c>
    </row>
    <row r="13" spans="1:5">
      <c r="D13" s="2" t="str">
        <f>'Balance sheet'!D12</f>
        <v>Preferred stock</v>
      </c>
      <c r="E13" s="4">
        <f>'Balance sheet'!E12</f>
        <v>200</v>
      </c>
    </row>
    <row r="14" spans="1:5">
      <c r="A14" s="70" t="s">
        <v>130</v>
      </c>
      <c r="D14" s="2" t="str">
        <f>'Balance sheet'!D13</f>
        <v>Minority interest</v>
      </c>
      <c r="E14" s="4">
        <f>'Balance sheet'!E13</f>
        <v>100</v>
      </c>
    </row>
    <row r="15" spans="1:5" ht="14.1">
      <c r="A15" s="2" t="str">
        <f>'Balance sheet'!A6</f>
        <v>Inventories</v>
      </c>
      <c r="B15" s="9">
        <f>'Balance sheet'!B6</f>
        <v>1500</v>
      </c>
      <c r="D15" s="11" t="s">
        <v>135</v>
      </c>
      <c r="E15" s="13">
        <f>SUM(E9:E14)</f>
        <v>4100</v>
      </c>
    </row>
    <row r="16" spans="1:5">
      <c r="A16" s="2" t="str">
        <f>'Balance sheet'!A7</f>
        <v>Accounts receivable</v>
      </c>
      <c r="B16" s="9">
        <f>'Balance sheet'!B7</f>
        <v>3000</v>
      </c>
    </row>
    <row r="17" spans="1:5" ht="14.1">
      <c r="A17" s="68"/>
      <c r="D17" s="70" t="s">
        <v>4</v>
      </c>
    </row>
    <row r="18" spans="1:5">
      <c r="A18" s="3" t="str">
        <f>'Balance sheet'!A15</f>
        <v>Goodwill</v>
      </c>
      <c r="B18" s="9">
        <f>'Balance sheet'!B15</f>
        <v>1000</v>
      </c>
      <c r="D18" s="2" t="str">
        <f>'Balance sheet'!D16</f>
        <v>Stock at par</v>
      </c>
      <c r="E18" s="4">
        <f>'Balance sheet'!E16</f>
        <v>1000</v>
      </c>
    </row>
    <row r="19" spans="1:5">
      <c r="A19" s="2"/>
      <c r="D19" s="2" t="str">
        <f>'Balance sheet'!D17</f>
        <v>Accumulated retained earnings</v>
      </c>
      <c r="E19" s="4">
        <f>'Balance sheet'!E17</f>
        <v>3500</v>
      </c>
    </row>
    <row r="20" spans="1:5" ht="14.1">
      <c r="A20" s="71" t="s">
        <v>131</v>
      </c>
      <c r="C20" s="11"/>
      <c r="D20" s="2" t="str">
        <f>'Balance sheet'!D18</f>
        <v>Stock repurchases</v>
      </c>
      <c r="E20" s="4">
        <f>'Balance sheet'!E18</f>
        <v>-350</v>
      </c>
    </row>
    <row r="21" spans="1:5" ht="14.1">
      <c r="A21" s="2" t="str">
        <f>'Balance sheet'!A17</f>
        <v>Discontinued operation</v>
      </c>
      <c r="B21" s="9">
        <f>'Balance sheet'!B17</f>
        <v>500</v>
      </c>
      <c r="D21" s="11" t="s">
        <v>124</v>
      </c>
      <c r="E21" s="13">
        <f>SUM(E18:E20)</f>
        <v>4150</v>
      </c>
    </row>
    <row r="23" spans="1:5" ht="14.1">
      <c r="A23" s="68" t="s">
        <v>3</v>
      </c>
      <c r="B23" s="12">
        <f>SUM(B6,B12,B15:B21)</f>
        <v>9950</v>
      </c>
      <c r="D23" s="11" t="s">
        <v>2</v>
      </c>
      <c r="E23" s="13">
        <f>SUM(E21,E15,E6)</f>
        <v>9950</v>
      </c>
    </row>
    <row r="24" spans="1:5" ht="14.1" thickBot="1"/>
    <row r="25" spans="1:5" ht="14.1" thickBot="1">
      <c r="A25" s="72" t="str">
        <f ca="1">_xlfn.FORMULATEXT(B23)</f>
        <v>=SUM(B6,B12,B15:B21)</v>
      </c>
      <c r="D25" s="72" t="str">
        <f ca="1">_xlfn.FORMULATEXT(E23)</f>
        <v>=SUM(E21,E15,E6)</v>
      </c>
    </row>
  </sheetData>
  <mergeCells count="1">
    <mergeCell ref="A1:E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5E9D6-97D2-4167-BE35-A9589946D567}">
  <sheetPr codeName="Sheet11"/>
  <dimension ref="A1:E23"/>
  <sheetViews>
    <sheetView workbookViewId="0">
      <selection sqref="A1:E1"/>
    </sheetView>
  </sheetViews>
  <sheetFormatPr defaultRowHeight="13.8"/>
  <cols>
    <col min="1" max="1" width="32.5703125" bestFit="1" customWidth="1"/>
    <col min="2" max="2" width="7.046875" style="9" customWidth="1"/>
    <col min="3" max="3" width="2.80859375" customWidth="1"/>
    <col min="4" max="4" width="39.140625" bestFit="1" customWidth="1"/>
    <col min="5" max="5" width="7.046875" style="4" customWidth="1"/>
  </cols>
  <sheetData>
    <row r="1" spans="1:5" ht="40.299999999999997" customHeight="1">
      <c r="A1" s="222" t="s">
        <v>137</v>
      </c>
      <c r="B1" s="222"/>
      <c r="C1" s="222"/>
      <c r="D1" s="222"/>
      <c r="E1" s="222"/>
    </row>
    <row r="2" spans="1:5" s="11" customFormat="1" ht="14.1">
      <c r="A2" s="11" t="s">
        <v>0</v>
      </c>
      <c r="B2" s="12"/>
      <c r="D2" s="11" t="s">
        <v>1</v>
      </c>
      <c r="E2" s="13"/>
    </row>
    <row r="3" spans="1:5">
      <c r="A3" s="14" t="s">
        <v>28</v>
      </c>
      <c r="B3" s="9">
        <f>'Balance sheet categorized'!B12</f>
        <v>1450</v>
      </c>
      <c r="D3" s="70" t="s">
        <v>125</v>
      </c>
    </row>
    <row r="4" spans="1:5">
      <c r="A4" s="2"/>
      <c r="B4" s="4"/>
      <c r="D4" s="2" t="s">
        <v>134</v>
      </c>
      <c r="E4" s="4">
        <f>'Balance sheet categorized'!E15</f>
        <v>4100</v>
      </c>
    </row>
    <row r="5" spans="1:5">
      <c r="A5" s="70" t="s">
        <v>130</v>
      </c>
      <c r="D5" s="2" t="s">
        <v>141</v>
      </c>
      <c r="E5" s="4">
        <f>-'Balance sheet categorized'!B6</f>
        <v>-2500</v>
      </c>
    </row>
    <row r="6" spans="1:5" ht="14.1">
      <c r="A6" s="2" t="str">
        <f>'Balance sheet'!A6</f>
        <v>Inventories</v>
      </c>
      <c r="B6" s="9">
        <f>'Balance sheet'!B6</f>
        <v>1500</v>
      </c>
      <c r="D6" s="11" t="s">
        <v>125</v>
      </c>
      <c r="E6" s="13">
        <f>SUM(E4:E5)</f>
        <v>1600</v>
      </c>
    </row>
    <row r="7" spans="1:5">
      <c r="A7" s="2" t="str">
        <f>'Balance sheet'!A7</f>
        <v>Accounts receivable</v>
      </c>
      <c r="B7" s="9">
        <f>'Balance sheet'!B7</f>
        <v>3000</v>
      </c>
    </row>
    <row r="8" spans="1:5">
      <c r="A8" s="73" t="s">
        <v>138</v>
      </c>
      <c r="B8" s="4">
        <f>-'Balance sheet categorized'!E4</f>
        <v>-1500</v>
      </c>
      <c r="D8" s="70"/>
    </row>
    <row r="9" spans="1:5">
      <c r="A9" s="2" t="s">
        <v>139</v>
      </c>
      <c r="B9" s="4">
        <f>-'Balance sheet categorized'!E5</f>
        <v>-200</v>
      </c>
      <c r="D9" s="2"/>
    </row>
    <row r="10" spans="1:5" ht="14.1">
      <c r="A10" s="68" t="s">
        <v>9</v>
      </c>
      <c r="B10" s="13">
        <f>SUM(B6:B9)</f>
        <v>2800</v>
      </c>
      <c r="D10" s="2"/>
    </row>
    <row r="11" spans="1:5">
      <c r="A11" s="2"/>
      <c r="B11" s="4"/>
      <c r="D11" s="3" t="s">
        <v>4</v>
      </c>
      <c r="E11" s="4">
        <f>B18-E6</f>
        <v>4150</v>
      </c>
    </row>
    <row r="12" spans="1:5">
      <c r="A12" s="14" t="s">
        <v>20</v>
      </c>
      <c r="B12" s="69">
        <f>'Balance sheet categorized'!B18</f>
        <v>1000</v>
      </c>
      <c r="D12" s="2"/>
    </row>
    <row r="13" spans="1:5">
      <c r="D13" s="2"/>
    </row>
    <row r="14" spans="1:5" ht="14.1">
      <c r="A14" s="11" t="s">
        <v>140</v>
      </c>
      <c r="B14" s="12">
        <f>SUM(B12,B10,B3)</f>
        <v>5250</v>
      </c>
      <c r="D14" s="2"/>
    </row>
    <row r="15" spans="1:5" ht="14.1">
      <c r="D15" s="11"/>
      <c r="E15" s="13"/>
    </row>
    <row r="16" spans="1:5">
      <c r="A16" t="s">
        <v>131</v>
      </c>
      <c r="B16" s="9">
        <f>'Balance sheet categorized'!B21</f>
        <v>500</v>
      </c>
    </row>
    <row r="17" spans="1:5" ht="14.1">
      <c r="A17" s="68"/>
      <c r="D17" s="70"/>
    </row>
    <row r="18" spans="1:5" ht="14.1">
      <c r="A18" s="68" t="s">
        <v>3</v>
      </c>
      <c r="B18" s="12">
        <f>SUM(B14,B16)</f>
        <v>5750</v>
      </c>
      <c r="D18" s="11" t="s">
        <v>2</v>
      </c>
      <c r="E18" s="13">
        <f>SUM(E11,E6)</f>
        <v>5750</v>
      </c>
    </row>
    <row r="19" spans="1:5" ht="14.1" thickBot="1">
      <c r="A19" s="2"/>
      <c r="D19" s="2"/>
    </row>
    <row r="20" spans="1:5" ht="14.4" thickBot="1">
      <c r="A20" s="72" t="str">
        <f ca="1">_xlfn.FORMULATEXT(B16)</f>
        <v>='Balance sheet categorized'!B21</v>
      </c>
      <c r="C20" s="11"/>
      <c r="D20" s="72" t="str">
        <f ca="1">_xlfn.FORMULATEXT(E18)</f>
        <v>=SUM(E11,E6)</v>
      </c>
    </row>
    <row r="21" spans="1:5" ht="14.4" thickBot="1">
      <c r="A21" s="2"/>
      <c r="D21" s="11"/>
      <c r="E21" s="13"/>
    </row>
    <row r="22" spans="1:5" ht="14.1" thickBot="1">
      <c r="A22" s="223" t="str">
        <f ca="1">_xlfn.FORMULATEXT(B18)</f>
        <v>=SUM(B14,B16)</v>
      </c>
      <c r="B22" s="224"/>
    </row>
    <row r="23" spans="1:5" ht="14.1">
      <c r="E23" s="13"/>
    </row>
  </sheetData>
  <mergeCells count="2">
    <mergeCell ref="A1:E1"/>
    <mergeCell ref="A22:B22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L49"/>
  <sheetViews>
    <sheetView topLeftCell="A3" workbookViewId="0">
      <selection activeCell="D11" sqref="D11"/>
    </sheetView>
  </sheetViews>
  <sheetFormatPr defaultRowHeight="13.8"/>
  <cols>
    <col min="1" max="1" width="41.140625" bestFit="1" customWidth="1"/>
    <col min="2" max="2" width="6.33203125" style="9" bestFit="1" customWidth="1"/>
    <col min="3" max="3" width="3.47265625" customWidth="1"/>
    <col min="4" max="4" width="42" bestFit="1" customWidth="1"/>
    <col min="5" max="5" width="10.234375" bestFit="1" customWidth="1"/>
    <col min="8" max="8" width="38.5234375" style="64" bestFit="1" customWidth="1"/>
    <col min="9" max="9" width="11.234375" style="64" bestFit="1" customWidth="1"/>
    <col min="10" max="10" width="14.09375" style="64" customWidth="1"/>
  </cols>
  <sheetData>
    <row r="1" spans="1:10" ht="45" customHeight="1">
      <c r="A1" s="226" t="s">
        <v>338</v>
      </c>
      <c r="B1" s="227"/>
      <c r="C1" s="227"/>
      <c r="D1" s="227"/>
      <c r="E1" s="227"/>
      <c r="H1" s="225" t="s">
        <v>276</v>
      </c>
      <c r="I1" s="225"/>
      <c r="J1" s="225"/>
    </row>
    <row r="2" spans="1:10" ht="14.1">
      <c r="A2" s="11" t="s">
        <v>142</v>
      </c>
      <c r="D2" s="11" t="s">
        <v>146</v>
      </c>
      <c r="H2" s="155" t="s">
        <v>275</v>
      </c>
      <c r="I2" s="74"/>
      <c r="J2" s="74"/>
    </row>
    <row r="3" spans="1:10" ht="14.1">
      <c r="D3" s="11" t="s">
        <v>8</v>
      </c>
      <c r="H3" s="154" t="s">
        <v>274</v>
      </c>
      <c r="I3" s="74"/>
      <c r="J3" s="74"/>
    </row>
    <row r="4" spans="1:10" ht="14.5" customHeight="1">
      <c r="A4" s="11" t="s">
        <v>7</v>
      </c>
      <c r="D4" s="2" t="str">
        <f t="shared" ref="D4:E6" si="0">H25</f>
        <v>Accounts payable</v>
      </c>
      <c r="E4" s="4">
        <f t="shared" si="0"/>
        <v>5957</v>
      </c>
      <c r="H4" s="75" t="s">
        <v>246</v>
      </c>
      <c r="I4" s="76" t="s">
        <v>248</v>
      </c>
      <c r="J4" s="76" t="s">
        <v>249</v>
      </c>
    </row>
    <row r="5" spans="1:10">
      <c r="A5" s="6" t="str">
        <f>H7</f>
        <v>Cash and short-term investments</v>
      </c>
      <c r="B5" s="9">
        <f>I7</f>
        <v>8284</v>
      </c>
      <c r="D5" s="2" t="str">
        <f t="shared" si="0"/>
        <v>Accrued expenses</v>
      </c>
      <c r="E5" s="4">
        <f t="shared" si="0"/>
        <v>3750</v>
      </c>
      <c r="H5" s="77" t="s">
        <v>247</v>
      </c>
      <c r="I5" s="78"/>
      <c r="J5" s="78"/>
    </row>
    <row r="6" spans="1:10">
      <c r="A6" s="6" t="str">
        <f t="shared" ref="A6:A10" si="1">H8</f>
        <v>Receivables - trade and other</v>
      </c>
      <c r="B6" s="9">
        <f t="shared" ref="B6:B9" si="2">I8</f>
        <v>8568</v>
      </c>
      <c r="D6" s="2" t="str">
        <f t="shared" si="0"/>
        <v>Accrued wages, salaries and employee benefits</v>
      </c>
      <c r="E6" s="4">
        <f t="shared" si="0"/>
        <v>1629</v>
      </c>
      <c r="H6" s="77" t="s">
        <v>250</v>
      </c>
      <c r="I6" s="78"/>
      <c r="J6" s="78"/>
    </row>
    <row r="7" spans="1:10" ht="14.25" customHeight="1">
      <c r="A7" s="6" t="str">
        <f t="shared" si="1"/>
        <v>Receivables - finance</v>
      </c>
      <c r="B7" s="9">
        <f t="shared" si="2"/>
        <v>9336</v>
      </c>
      <c r="D7" s="2" t="str">
        <f t="shared" ref="D7:E8" si="3">H28</f>
        <v>Customer advances</v>
      </c>
      <c r="E7" s="4">
        <f t="shared" si="3"/>
        <v>1187</v>
      </c>
      <c r="H7" s="77" t="s">
        <v>251</v>
      </c>
      <c r="I7" s="152">
        <v>8284</v>
      </c>
      <c r="J7" s="152">
        <v>7857</v>
      </c>
    </row>
    <row r="8" spans="1:10">
      <c r="A8" s="6" t="str">
        <f>H10</f>
        <v>Prepaid expense and other assets</v>
      </c>
      <c r="B8" s="9">
        <f t="shared" si="2"/>
        <v>1739</v>
      </c>
      <c r="D8" s="2" t="str">
        <f t="shared" si="3"/>
        <v>Dividends payable</v>
      </c>
      <c r="E8" s="4">
        <f t="shared" si="3"/>
        <v>567</v>
      </c>
      <c r="H8" s="77" t="s">
        <v>252</v>
      </c>
      <c r="I8" s="78">
        <v>8568</v>
      </c>
      <c r="J8" s="78">
        <v>8802</v>
      </c>
    </row>
    <row r="9" spans="1:10" ht="14.5" customHeight="1">
      <c r="A9" s="6" t="str">
        <f t="shared" si="1"/>
        <v>Inventories</v>
      </c>
      <c r="B9" s="9">
        <f t="shared" si="2"/>
        <v>11266</v>
      </c>
      <c r="D9" s="2" t="str">
        <f t="shared" ref="D9:E9" si="4">H30</f>
        <v>Other current liabilities</v>
      </c>
      <c r="E9" s="4">
        <f t="shared" si="4"/>
        <v>2155</v>
      </c>
      <c r="H9" s="77" t="s">
        <v>253</v>
      </c>
      <c r="I9" s="78">
        <v>9336</v>
      </c>
      <c r="J9" s="78">
        <v>8650</v>
      </c>
    </row>
    <row r="10" spans="1:10" ht="14.1">
      <c r="A10" s="156" t="str">
        <f t="shared" si="1"/>
        <v>Total current assets</v>
      </c>
      <c r="B10" s="12">
        <f>SUM(B5:B9)</f>
        <v>39193</v>
      </c>
      <c r="D10" s="2" t="str">
        <f>H32</f>
        <v>Machinery, energy &amp; transportation</v>
      </c>
      <c r="E10" s="4">
        <f>I32+I23</f>
        <v>21</v>
      </c>
      <c r="H10" s="77" t="s">
        <v>339</v>
      </c>
      <c r="I10" s="78">
        <v>1739</v>
      </c>
      <c r="J10" s="78">
        <v>1765</v>
      </c>
    </row>
    <row r="11" spans="1:10">
      <c r="B11" s="81"/>
      <c r="D11" s="2" t="str">
        <f>H33</f>
        <v>Financial Products</v>
      </c>
      <c r="E11" s="4">
        <f>I33+I24</f>
        <v>11355</v>
      </c>
      <c r="H11" s="79" t="s">
        <v>18</v>
      </c>
      <c r="I11" s="78">
        <v>11266</v>
      </c>
      <c r="J11" s="78">
        <v>11529</v>
      </c>
    </row>
    <row r="12" spans="1:10" s="94" customFormat="1" ht="14.1">
      <c r="A12" s="3" t="str">
        <f>H13</f>
        <v>Property, plant and equipment, net</v>
      </c>
      <c r="B12" s="9">
        <f>I13</f>
        <v>12904</v>
      </c>
      <c r="D12" s="97" t="s">
        <v>120</v>
      </c>
      <c r="E12" s="99">
        <f>SUM(E4:E11)</f>
        <v>26621</v>
      </c>
      <c r="H12" s="79" t="s">
        <v>121</v>
      </c>
      <c r="I12" s="157">
        <v>39193</v>
      </c>
      <c r="J12" s="157">
        <v>38603</v>
      </c>
    </row>
    <row r="13" spans="1:10">
      <c r="A13" s="8" t="str">
        <f t="shared" ref="A13:B18" si="5">H14</f>
        <v>Long-term receivables - trade and other</v>
      </c>
      <c r="B13" s="9">
        <f t="shared" si="5"/>
        <v>1193</v>
      </c>
      <c r="E13" s="4"/>
      <c r="H13" s="77" t="s">
        <v>340</v>
      </c>
      <c r="I13" s="78">
        <v>12904</v>
      </c>
      <c r="J13" s="78">
        <v>13574</v>
      </c>
    </row>
    <row r="14" spans="1:10" ht="14.1">
      <c r="A14" s="8" t="str">
        <f t="shared" si="5"/>
        <v>Long-term receivables - finance</v>
      </c>
      <c r="B14" s="9">
        <f t="shared" si="5"/>
        <v>12651</v>
      </c>
      <c r="D14" s="11" t="str">
        <f>H36</f>
        <v>Long-term debt due after one year:</v>
      </c>
      <c r="H14" s="77" t="s">
        <v>254</v>
      </c>
      <c r="I14" s="78">
        <v>1193</v>
      </c>
      <c r="J14" s="78">
        <v>1161</v>
      </c>
    </row>
    <row r="15" spans="1:10">
      <c r="A15" s="3" t="str">
        <f>H16</f>
        <v>Noncurrent deferred and refundable income taxes</v>
      </c>
      <c r="B15" s="9">
        <f t="shared" si="5"/>
        <v>1411</v>
      </c>
      <c r="D15" t="str">
        <f>H37</f>
        <v>Machinery, energy &amp; transportation</v>
      </c>
      <c r="E15" s="4">
        <f>I37</f>
        <v>9141</v>
      </c>
      <c r="H15" s="77" t="s">
        <v>255</v>
      </c>
      <c r="I15" s="78">
        <v>12651</v>
      </c>
      <c r="J15" s="78">
        <v>13286</v>
      </c>
    </row>
    <row r="16" spans="1:10">
      <c r="A16" s="8" t="str">
        <f t="shared" si="5"/>
        <v>Intangible assets</v>
      </c>
      <c r="B16" s="9">
        <f t="shared" si="5"/>
        <v>1565</v>
      </c>
      <c r="D16" s="14" t="str">
        <f>H38</f>
        <v>Financial products</v>
      </c>
      <c r="E16" s="16">
        <f>I38</f>
        <v>17140</v>
      </c>
      <c r="H16" s="77" t="s">
        <v>256</v>
      </c>
      <c r="I16" s="78">
        <v>1411</v>
      </c>
      <c r="J16" s="78">
        <v>1439</v>
      </c>
    </row>
    <row r="17" spans="1:12">
      <c r="A17" s="8" t="str">
        <f t="shared" si="5"/>
        <v>Goodwill</v>
      </c>
      <c r="B17" s="9">
        <f t="shared" si="5"/>
        <v>6196</v>
      </c>
      <c r="D17" s="14" t="str">
        <f t="shared" ref="D17:E17" si="6">H39</f>
        <v>Liability for postemployment benefits</v>
      </c>
      <c r="E17" s="16">
        <f t="shared" si="6"/>
        <v>6599</v>
      </c>
      <c r="H17" s="77" t="s">
        <v>257</v>
      </c>
      <c r="I17" s="78">
        <v>1565</v>
      </c>
      <c r="J17" s="78">
        <v>1897</v>
      </c>
    </row>
    <row r="18" spans="1:12" ht="14.1">
      <c r="A18" s="8" t="str">
        <f t="shared" si="5"/>
        <v>Other assets</v>
      </c>
      <c r="B18" s="9">
        <f t="shared" si="5"/>
        <v>3340</v>
      </c>
      <c r="D18" s="14" t="str">
        <f t="shared" ref="D18:E18" si="7">H40</f>
        <v>Other liabilities</v>
      </c>
      <c r="E18" s="16">
        <f t="shared" si="7"/>
        <v>4323</v>
      </c>
      <c r="H18" s="77" t="s">
        <v>20</v>
      </c>
      <c r="I18" s="78">
        <v>6196</v>
      </c>
      <c r="J18" s="78">
        <v>6217</v>
      </c>
      <c r="K18" s="11"/>
    </row>
    <row r="19" spans="1:12" ht="14.1">
      <c r="A19" s="8"/>
      <c r="D19" s="11" t="str">
        <f t="shared" ref="D19" si="8">H41</f>
        <v>Total liabilities</v>
      </c>
      <c r="E19" s="13">
        <f>SUM(E12:E18)</f>
        <v>63824</v>
      </c>
      <c r="H19" s="77" t="s">
        <v>123</v>
      </c>
      <c r="I19" s="78">
        <v>3340</v>
      </c>
      <c r="J19" s="78">
        <v>2332</v>
      </c>
      <c r="L19" s="11"/>
    </row>
    <row r="20" spans="1:12" s="11" customFormat="1" ht="14.1">
      <c r="A20" s="1"/>
      <c r="B20" s="9"/>
      <c r="D20"/>
      <c r="E20"/>
      <c r="F20" s="13"/>
      <c r="H20" s="158" t="s">
        <v>3</v>
      </c>
      <c r="I20" s="157">
        <v>78453</v>
      </c>
      <c r="J20" s="157">
        <v>78509</v>
      </c>
      <c r="K20"/>
      <c r="L20"/>
    </row>
    <row r="21" spans="1:12" ht="14.1">
      <c r="A21" s="1"/>
      <c r="D21" s="11" t="str">
        <f>H48</f>
        <v>Total stockholders' equity</v>
      </c>
      <c r="E21" s="13">
        <f>I48</f>
        <v>14629</v>
      </c>
      <c r="H21" s="158"/>
      <c r="I21" s="157"/>
      <c r="J21" s="157"/>
    </row>
    <row r="22" spans="1:12">
      <c r="D22" s="14"/>
      <c r="E22" s="16"/>
      <c r="H22" s="160" t="s">
        <v>258</v>
      </c>
      <c r="I22" s="160"/>
      <c r="J22" s="160"/>
    </row>
    <row r="23" spans="1:12" ht="14.1">
      <c r="A23" s="5" t="s">
        <v>3</v>
      </c>
      <c r="B23" s="12">
        <f>SUM(B10:B18)</f>
        <v>78453</v>
      </c>
      <c r="D23" s="11" t="str">
        <f>H49</f>
        <v>Total liabilities and stockholders' equity</v>
      </c>
      <c r="E23" s="13">
        <f>E21+E19</f>
        <v>78453</v>
      </c>
      <c r="H23" s="161" t="s">
        <v>259</v>
      </c>
      <c r="I23" s="162">
        <v>5</v>
      </c>
      <c r="J23" s="162">
        <v>0</v>
      </c>
    </row>
    <row r="24" spans="1:12">
      <c r="D24" s="14"/>
      <c r="E24" s="16"/>
      <c r="H24" s="160" t="s">
        <v>260</v>
      </c>
      <c r="I24" s="163">
        <v>5161</v>
      </c>
      <c r="J24" s="163">
        <v>5723</v>
      </c>
    </row>
    <row r="25" spans="1:12">
      <c r="H25" s="160" t="s">
        <v>21</v>
      </c>
      <c r="I25" s="162">
        <v>5957</v>
      </c>
      <c r="J25" s="162">
        <v>7051</v>
      </c>
    </row>
    <row r="26" spans="1:12">
      <c r="H26" s="160" t="s">
        <v>144</v>
      </c>
      <c r="I26" s="162">
        <v>3750</v>
      </c>
      <c r="J26" s="162">
        <v>3573</v>
      </c>
    </row>
    <row r="27" spans="1:12">
      <c r="H27" s="160" t="s">
        <v>261</v>
      </c>
      <c r="I27" s="162">
        <v>1629</v>
      </c>
      <c r="J27" s="162">
        <v>2384</v>
      </c>
    </row>
    <row r="28" spans="1:12" ht="14.1">
      <c r="D28" s="11"/>
      <c r="E28" s="4"/>
      <c r="H28" s="160" t="s">
        <v>262</v>
      </c>
      <c r="I28" s="162">
        <v>1187</v>
      </c>
      <c r="J28" s="162">
        <v>1243</v>
      </c>
    </row>
    <row r="29" spans="1:12">
      <c r="D29" s="2"/>
      <c r="E29" s="4"/>
      <c r="H29" s="160" t="s">
        <v>263</v>
      </c>
      <c r="I29" s="160">
        <v>567</v>
      </c>
      <c r="J29" s="160">
        <v>495</v>
      </c>
    </row>
    <row r="30" spans="1:12">
      <c r="D30" s="2"/>
      <c r="E30" s="4"/>
      <c r="H30" s="161" t="s">
        <v>264</v>
      </c>
      <c r="I30" s="162">
        <v>2155</v>
      </c>
      <c r="J30" s="162">
        <v>1919</v>
      </c>
    </row>
    <row r="31" spans="1:12">
      <c r="D31" s="2"/>
      <c r="E31" s="4"/>
      <c r="H31" s="161" t="s">
        <v>265</v>
      </c>
      <c r="I31" s="162"/>
      <c r="J31" s="162"/>
      <c r="K31" s="14"/>
    </row>
    <row r="32" spans="1:12">
      <c r="D32" s="2"/>
      <c r="E32" s="4"/>
      <c r="H32" s="164" t="s">
        <v>341</v>
      </c>
      <c r="I32" s="164">
        <v>16</v>
      </c>
      <c r="J32" s="164">
        <v>10</v>
      </c>
      <c r="K32" s="14"/>
    </row>
    <row r="33" spans="4:11">
      <c r="D33" s="2"/>
      <c r="E33" s="4"/>
      <c r="H33" s="164" t="s">
        <v>260</v>
      </c>
      <c r="I33" s="165">
        <v>6194</v>
      </c>
      <c r="J33" s="165">
        <v>5820</v>
      </c>
      <c r="K33" s="14"/>
    </row>
    <row r="34" spans="4:11" ht="14.1">
      <c r="D34" s="11"/>
      <c r="E34" s="13"/>
      <c r="H34" s="93" t="s">
        <v>120</v>
      </c>
      <c r="I34" s="137">
        <v>26621</v>
      </c>
      <c r="J34" s="137">
        <v>28218</v>
      </c>
    </row>
    <row r="35" spans="4:11" ht="14.1">
      <c r="H35" s="93"/>
      <c r="I35" s="137"/>
      <c r="J35" s="137"/>
    </row>
    <row r="36" spans="4:11" ht="14.1">
      <c r="D36" s="11"/>
      <c r="E36" s="13"/>
      <c r="H36" s="64" t="s">
        <v>266</v>
      </c>
    </row>
    <row r="37" spans="4:11">
      <c r="H37" s="64" t="s">
        <v>341</v>
      </c>
      <c r="I37" s="65">
        <v>9141</v>
      </c>
      <c r="J37" s="65">
        <v>8005</v>
      </c>
    </row>
    <row r="38" spans="4:11">
      <c r="H38" s="64" t="s">
        <v>342</v>
      </c>
      <c r="I38" s="65">
        <v>17140</v>
      </c>
      <c r="J38" s="65">
        <v>16995</v>
      </c>
    </row>
    <row r="39" spans="4:11">
      <c r="H39" s="64" t="s">
        <v>267</v>
      </c>
      <c r="I39" s="65">
        <v>6599</v>
      </c>
      <c r="J39" s="65">
        <v>7455</v>
      </c>
    </row>
    <row r="40" spans="4:11">
      <c r="H40" s="64" t="s">
        <v>268</v>
      </c>
      <c r="I40" s="65">
        <v>4323</v>
      </c>
      <c r="J40" s="65">
        <v>3756</v>
      </c>
    </row>
    <row r="41" spans="4:11">
      <c r="H41" s="64" t="s">
        <v>122</v>
      </c>
      <c r="I41" s="65">
        <v>63824</v>
      </c>
      <c r="J41" s="65">
        <v>64429</v>
      </c>
    </row>
    <row r="42" spans="4:11">
      <c r="H42" s="64" t="s">
        <v>269</v>
      </c>
    </row>
    <row r="43" spans="4:11">
      <c r="H43" s="64" t="s">
        <v>270</v>
      </c>
      <c r="I43" s="65">
        <v>5935</v>
      </c>
      <c r="J43" s="65">
        <v>5827</v>
      </c>
    </row>
    <row r="44" spans="4:11">
      <c r="H44" s="64" t="s">
        <v>271</v>
      </c>
      <c r="I44" s="65">
        <v>-24217</v>
      </c>
      <c r="J44" s="65">
        <v>-20531</v>
      </c>
    </row>
    <row r="45" spans="4:11">
      <c r="H45" s="64" t="s">
        <v>272</v>
      </c>
      <c r="I45" s="65">
        <v>34437</v>
      </c>
      <c r="J45" s="65">
        <v>30427</v>
      </c>
    </row>
    <row r="46" spans="4:11">
      <c r="H46" s="64" t="s">
        <v>165</v>
      </c>
      <c r="I46" s="65">
        <v>-1567</v>
      </c>
      <c r="J46" s="65">
        <v>-1684</v>
      </c>
    </row>
    <row r="47" spans="4:11">
      <c r="H47" s="64" t="s">
        <v>145</v>
      </c>
      <c r="I47" s="64">
        <v>41</v>
      </c>
      <c r="J47" s="64">
        <v>41</v>
      </c>
    </row>
    <row r="48" spans="4:11">
      <c r="H48" s="64" t="s">
        <v>166</v>
      </c>
      <c r="I48" s="65">
        <v>14629</v>
      </c>
      <c r="J48" s="65">
        <v>14080</v>
      </c>
    </row>
    <row r="49" spans="8:10">
      <c r="H49" s="64" t="s">
        <v>273</v>
      </c>
      <c r="I49" s="153">
        <v>78453</v>
      </c>
      <c r="J49" s="153">
        <v>78509</v>
      </c>
    </row>
  </sheetData>
  <mergeCells count="2">
    <mergeCell ref="H1:J1"/>
    <mergeCell ref="A1:E1"/>
  </mergeCells>
  <hyperlinks>
    <hyperlink ref="H2" r:id="rId1" display="https://www.sec.gov/cgi-bin/viewer?action=view&amp;cik=18230&amp;accession_number=0000018230-20-000056&amp;xbrl_type=v" xr:uid="{D8182D80-C5DC-483C-BD63-BC9DCAD82EBC}"/>
  </hyperlink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E252-326C-4E84-8892-F773D1A7F02E}">
  <sheetPr codeName="Sheet12"/>
  <dimension ref="A1:E30"/>
  <sheetViews>
    <sheetView zoomScale="55" zoomScaleNormal="55" workbookViewId="0">
      <selection activeCell="I14" sqref="I14"/>
    </sheetView>
  </sheetViews>
  <sheetFormatPr defaultRowHeight="13.8"/>
  <cols>
    <col min="1" max="1" width="42.7109375" customWidth="1"/>
    <col min="2" max="2" width="7.80859375" style="9" customWidth="1"/>
    <col min="3" max="3" width="3.47265625" customWidth="1"/>
    <col min="4" max="4" width="36.5703125" customWidth="1"/>
    <col min="5" max="5" width="9.140625" bestFit="1" customWidth="1"/>
  </cols>
  <sheetData>
    <row r="1" spans="1:5" ht="45" customHeight="1">
      <c r="A1" s="226" t="s">
        <v>344</v>
      </c>
      <c r="B1" s="227"/>
      <c r="C1" s="227"/>
      <c r="D1" s="227"/>
      <c r="E1" s="227"/>
    </row>
    <row r="2" spans="1:5" s="1" customFormat="1" ht="14.1">
      <c r="A2" s="5" t="s">
        <v>147</v>
      </c>
      <c r="B2" s="81"/>
      <c r="D2" s="156" t="s">
        <v>125</v>
      </c>
      <c r="E2" s="104"/>
    </row>
    <row r="3" spans="1:5" s="1" customFormat="1">
      <c r="A3" s="8" t="str">
        <f>'CAT balance sheet 2019'!A12</f>
        <v>Property, plant and equipment, net</v>
      </c>
      <c r="B3" s="166">
        <f>'CAT balance sheet 2019'!B12</f>
        <v>12904</v>
      </c>
      <c r="D3" s="6" t="str">
        <f>"Short term "&amp; LOWER('CAT balance sheet 2019'!D11)</f>
        <v>Short term financial products</v>
      </c>
      <c r="E3" s="104">
        <f>'CAT balance sheet 2019'!E11</f>
        <v>11355</v>
      </c>
    </row>
    <row r="4" spans="1:5" s="1" customFormat="1">
      <c r="A4" s="8" t="s">
        <v>9</v>
      </c>
      <c r="B4" s="166">
        <f>B30</f>
        <v>33620</v>
      </c>
      <c r="D4" s="6" t="str">
        <f>'CAT balance sheet 2019'!D8</f>
        <v>Dividends payable</v>
      </c>
      <c r="E4" s="104">
        <f>'CAT balance sheet 2019'!E8</f>
        <v>567</v>
      </c>
    </row>
    <row r="5" spans="1:5" s="1" customFormat="1" ht="14.25" customHeight="1">
      <c r="A5" s="8" t="s">
        <v>343</v>
      </c>
      <c r="B5" s="166">
        <f>SUM('CAT balance sheet 2019'!B16:B17)</f>
        <v>7761</v>
      </c>
      <c r="D5" s="6" t="str">
        <f>'CAT balance sheet 2019'!D9</f>
        <v>Other current liabilities</v>
      </c>
      <c r="E5" s="104">
        <f>'CAT balance sheet 2019'!E9</f>
        <v>2155</v>
      </c>
    </row>
    <row r="6" spans="1:5" s="94" customFormat="1" ht="14.1">
      <c r="A6" s="97" t="s">
        <v>148</v>
      </c>
      <c r="B6" s="169">
        <f>SUM(B3:B5)</f>
        <v>54285</v>
      </c>
      <c r="D6" s="2" t="str">
        <f>'CAT balance sheet 2019'!D15</f>
        <v>Machinery, energy &amp; transportation</v>
      </c>
      <c r="E6" s="98">
        <f>'CAT balance sheet 2019'!E15</f>
        <v>9141</v>
      </c>
    </row>
    <row r="7" spans="1:5" s="1" customFormat="1">
      <c r="A7" s="83"/>
      <c r="B7" s="81"/>
      <c r="D7" s="6" t="str">
        <f>"Long term "&amp;LOWER('CAT balance sheet 2019'!D16)</f>
        <v>Long term financial products</v>
      </c>
      <c r="E7" s="104">
        <f>'CAT balance sheet 2019'!E16</f>
        <v>17140</v>
      </c>
    </row>
    <row r="8" spans="1:5" s="1" customFormat="1">
      <c r="A8" s="8" t="str">
        <f>'CAT balance sheet 2019'!A18</f>
        <v>Other assets</v>
      </c>
      <c r="B8" s="166">
        <f>'CAT balance sheet 2019'!B18</f>
        <v>3340</v>
      </c>
      <c r="D8" s="6" t="str">
        <f>'CAT balance sheet 2019'!D17</f>
        <v>Liability for postemployment benefits</v>
      </c>
      <c r="E8" s="104">
        <f>'CAT balance sheet 2019'!E17</f>
        <v>6599</v>
      </c>
    </row>
    <row r="9" spans="1:5" s="1" customFormat="1">
      <c r="A9" s="8"/>
      <c r="B9" s="81"/>
      <c r="D9" s="6" t="str">
        <f>'CAT balance sheet 2019'!D18</f>
        <v>Other liabilities</v>
      </c>
      <c r="E9" s="104">
        <f>'CAT balance sheet 2019'!E18</f>
        <v>4323</v>
      </c>
    </row>
    <row r="10" spans="1:5" s="1" customFormat="1" ht="14.1">
      <c r="A10" s="5" t="s">
        <v>41</v>
      </c>
      <c r="B10" s="167">
        <f>SUM(B6:B9)</f>
        <v>57625</v>
      </c>
      <c r="D10" s="6" t="str">
        <f>"Less "&amp;LOWER('CAT balance sheet 2019'!A5)</f>
        <v>Less cash and short-term investments</v>
      </c>
      <c r="E10" s="104">
        <f>-'CAT balance sheet 2019'!B5</f>
        <v>-8284</v>
      </c>
    </row>
    <row r="11" spans="1:5" s="1" customFormat="1" ht="14.1">
      <c r="B11" s="81"/>
      <c r="D11" s="5" t="s">
        <v>125</v>
      </c>
      <c r="E11" s="159">
        <f>SUM(E3:E10)</f>
        <v>42996</v>
      </c>
    </row>
    <row r="12" spans="1:5" s="1" customFormat="1"/>
    <row r="13" spans="1:5" s="1" customFormat="1" ht="14.1">
      <c r="D13" s="5" t="s">
        <v>4</v>
      </c>
      <c r="E13" s="104">
        <f>B10-E11</f>
        <v>14629</v>
      </c>
    </row>
    <row r="14" spans="1:5">
      <c r="D14" s="1"/>
      <c r="E14" s="104"/>
    </row>
    <row r="15" spans="1:5" ht="14.1">
      <c r="D15" s="11" t="s">
        <v>41</v>
      </c>
      <c r="E15" s="13">
        <f>E13+E11</f>
        <v>57625</v>
      </c>
    </row>
    <row r="17" spans="1:2" ht="14.1">
      <c r="A17" s="168" t="s">
        <v>149</v>
      </c>
      <c r="B17" s="81"/>
    </row>
    <row r="18" spans="1:2">
      <c r="A18" s="1" t="str">
        <f>'CAT balance sheet 2019'!A6</f>
        <v>Receivables - trade and other</v>
      </c>
      <c r="B18" s="81">
        <f>'CAT balance sheet 2019'!B6</f>
        <v>8568</v>
      </c>
    </row>
    <row r="19" spans="1:2">
      <c r="A19" t="str">
        <f>'CAT balance sheet 2019'!A7</f>
        <v>Receivables - finance</v>
      </c>
      <c r="B19" s="9">
        <f>'CAT balance sheet 2019'!B7</f>
        <v>9336</v>
      </c>
    </row>
    <row r="20" spans="1:2">
      <c r="A20" t="str">
        <f>'CAT balance sheet 2019'!A8</f>
        <v>Prepaid expense and other assets</v>
      </c>
      <c r="B20" s="4">
        <f>'CAT balance sheet 2019'!B8</f>
        <v>1739</v>
      </c>
    </row>
    <row r="21" spans="1:2">
      <c r="A21" t="str">
        <f>'CAT balance sheet 2019'!A9</f>
        <v>Inventories</v>
      </c>
      <c r="B21" s="4">
        <f>'CAT balance sheet 2019'!B9</f>
        <v>11266</v>
      </c>
    </row>
    <row r="22" spans="1:2">
      <c r="A22" s="4" t="str">
        <f>'CAT balance sheet 2019'!A13</f>
        <v>Long-term receivables - trade and other</v>
      </c>
      <c r="B22" s="4">
        <f>'CAT balance sheet 2019'!B13</f>
        <v>1193</v>
      </c>
    </row>
    <row r="23" spans="1:2">
      <c r="A23" s="4" t="str">
        <f>'CAT balance sheet 2019'!A14</f>
        <v>Long-term receivables - finance</v>
      </c>
      <c r="B23" s="4">
        <f>'CAT balance sheet 2019'!B14</f>
        <v>12651</v>
      </c>
    </row>
    <row r="24" spans="1:2">
      <c r="A24" s="4" t="str">
        <f>'CAT balance sheet 2019'!A15</f>
        <v>Noncurrent deferred and refundable income taxes</v>
      </c>
      <c r="B24" s="4">
        <f>'CAT balance sheet 2019'!B15</f>
        <v>1411</v>
      </c>
    </row>
    <row r="25" spans="1:2">
      <c r="A25" s="4" t="str">
        <f>'CAT balance sheet 2019'!D4</f>
        <v>Accounts payable</v>
      </c>
      <c r="B25">
        <f>('CAT balance sheet 2019'!E4)*-1</f>
        <v>-5957</v>
      </c>
    </row>
    <row r="26" spans="1:2">
      <c r="A26" s="4" t="str">
        <f>'CAT balance sheet 2019'!D5</f>
        <v>Accrued expenses</v>
      </c>
      <c r="B26">
        <f>('CAT balance sheet 2019'!E5)*-1</f>
        <v>-3750</v>
      </c>
    </row>
    <row r="27" spans="1:2">
      <c r="A27" s="4" t="str">
        <f>'CAT balance sheet 2019'!D6</f>
        <v>Accrued wages, salaries and employee benefits</v>
      </c>
      <c r="B27">
        <f>('CAT balance sheet 2019'!E6)*-1</f>
        <v>-1629</v>
      </c>
    </row>
    <row r="28" spans="1:2">
      <c r="A28" s="4" t="str">
        <f>'CAT balance sheet 2019'!D7</f>
        <v>Customer advances</v>
      </c>
      <c r="B28">
        <f>('CAT balance sheet 2019'!E7)*-1</f>
        <v>-1187</v>
      </c>
    </row>
    <row r="29" spans="1:2">
      <c r="A29" s="4" t="str">
        <f>'CAT balance sheet 2019'!D10</f>
        <v>Machinery, energy &amp; transportation</v>
      </c>
      <c r="B29">
        <f>('CAT balance sheet 2019'!E10)*-1</f>
        <v>-21</v>
      </c>
    </row>
    <row r="30" spans="1:2" ht="14.1">
      <c r="A30" s="11" t="s">
        <v>9</v>
      </c>
      <c r="B30" s="12">
        <f>SUM(B18:B29)</f>
        <v>33620</v>
      </c>
    </row>
  </sheetData>
  <mergeCells count="1">
    <mergeCell ref="A1:E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E18"/>
  <sheetViews>
    <sheetView zoomScale="115" zoomScaleNormal="115" workbookViewId="0">
      <selection sqref="A1:E9"/>
    </sheetView>
  </sheetViews>
  <sheetFormatPr defaultRowHeight="13.8"/>
  <cols>
    <col min="1" max="1" width="37.90234375" bestFit="1" customWidth="1"/>
    <col min="2" max="2" width="7.6640625" customWidth="1"/>
    <col min="3" max="3" width="2.6640625" style="1" customWidth="1"/>
    <col min="4" max="4" width="33.140625" bestFit="1" customWidth="1"/>
    <col min="5" max="5" width="7.6640625" customWidth="1"/>
  </cols>
  <sheetData>
    <row r="1" spans="1:5" ht="17.7">
      <c r="A1" s="226" t="s">
        <v>151</v>
      </c>
      <c r="B1" s="226"/>
      <c r="C1" s="226"/>
      <c r="D1" s="226"/>
      <c r="E1" s="226"/>
    </row>
    <row r="2" spans="1:5" ht="14.1" thickBot="1">
      <c r="C2"/>
      <c r="D2" t="s">
        <v>277</v>
      </c>
      <c r="E2" s="85">
        <v>552.66</v>
      </c>
    </row>
    <row r="3" spans="1:5" ht="14.4" thickBot="1">
      <c r="A3" s="238" t="str">
        <f ca="1">"Formula in cell "&amp;ADDRESS(ROW(B6),COLUMN(B6))&amp;" is: "&amp;_xlfn.FORMULATEXT(B6)</f>
        <v>Formula in cell $B$6 is: =E7+E6-B7</v>
      </c>
      <c r="C3"/>
      <c r="D3" t="s">
        <v>278</v>
      </c>
      <c r="E3" s="85">
        <v>147.68</v>
      </c>
    </row>
    <row r="4" spans="1:5">
      <c r="C4"/>
      <c r="D4" s="87" t="s">
        <v>150</v>
      </c>
      <c r="E4" s="88">
        <f>E3*E2</f>
        <v>81616.828800000003</v>
      </c>
    </row>
    <row r="5" spans="1:5">
      <c r="B5" s="9"/>
      <c r="C5"/>
    </row>
    <row r="6" spans="1:5" ht="14.1">
      <c r="A6" s="11" t="s">
        <v>345</v>
      </c>
      <c r="B6" s="89">
        <f>E7+E6-B7</f>
        <v>121272.8288</v>
      </c>
      <c r="C6"/>
      <c r="D6" s="14" t="s">
        <v>125</v>
      </c>
      <c r="E6" s="16">
        <f>'CAT oper. balance sheet'!E11</f>
        <v>42996</v>
      </c>
    </row>
    <row r="7" spans="1:5">
      <c r="A7" s="8" t="str">
        <f>'CAT oper. balance sheet'!A8</f>
        <v>Other assets</v>
      </c>
      <c r="B7" s="81">
        <f>'CAT oper. balance sheet'!B8</f>
        <v>3340</v>
      </c>
      <c r="C7"/>
      <c r="D7" s="14" t="s">
        <v>4</v>
      </c>
      <c r="E7" s="16">
        <f>E4</f>
        <v>81616.828800000003</v>
      </c>
    </row>
    <row r="8" spans="1:5">
      <c r="C8"/>
    </row>
    <row r="9" spans="1:5" ht="14.25" customHeight="1">
      <c r="A9" s="5" t="s">
        <v>41</v>
      </c>
      <c r="B9" s="12">
        <f>SUM(B6:B7)</f>
        <v>124612.8288</v>
      </c>
      <c r="C9"/>
      <c r="D9" s="11" t="s">
        <v>41</v>
      </c>
      <c r="E9" s="13">
        <f>E7+E6</f>
        <v>124612.8288</v>
      </c>
    </row>
    <row r="10" spans="1:5" ht="16.5" customHeight="1">
      <c r="B10" s="82"/>
      <c r="C10"/>
      <c r="D10" s="11"/>
      <c r="E10" s="13"/>
    </row>
    <row r="11" spans="1:5">
      <c r="A11" s="83"/>
      <c r="B11" s="9"/>
      <c r="C11"/>
    </row>
    <row r="12" spans="1:5">
      <c r="C12"/>
    </row>
    <row r="13" spans="1:5">
      <c r="A13" s="8"/>
      <c r="B13" s="81"/>
      <c r="C13"/>
    </row>
    <row r="14" spans="1:5">
      <c r="C14"/>
    </row>
    <row r="15" spans="1:5">
      <c r="A15" s="1"/>
      <c r="B15" s="9"/>
      <c r="C15"/>
    </row>
    <row r="16" spans="1:5">
      <c r="B16" s="9"/>
      <c r="C16"/>
    </row>
    <row r="17" spans="2:3">
      <c r="B17" s="9"/>
      <c r="C17"/>
    </row>
    <row r="18" spans="2:3">
      <c r="B18" s="9"/>
      <c r="C18"/>
    </row>
  </sheetData>
  <mergeCells count="1">
    <mergeCell ref="A1:E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35"/>
  <sheetViews>
    <sheetView workbookViewId="0">
      <selection sqref="A1:E12"/>
    </sheetView>
  </sheetViews>
  <sheetFormatPr defaultRowHeight="13.8"/>
  <cols>
    <col min="1" max="1" width="38.90234375" customWidth="1"/>
    <col min="2" max="2" width="7.33203125" bestFit="1" customWidth="1"/>
    <col min="3" max="3" width="12.94921875" bestFit="1" customWidth="1"/>
    <col min="4" max="4" width="33.140625" bestFit="1" customWidth="1"/>
    <col min="5" max="5" width="7.33203125" bestFit="1" customWidth="1"/>
    <col min="6" max="6" width="17.90234375" style="1" customWidth="1"/>
  </cols>
  <sheetData>
    <row r="1" spans="1:6" ht="53.05" customHeight="1">
      <c r="A1" s="226" t="s">
        <v>346</v>
      </c>
      <c r="B1" s="226"/>
      <c r="C1" s="226"/>
      <c r="D1" s="226"/>
      <c r="E1" s="226"/>
      <c r="F1" s="86"/>
    </row>
    <row r="2" spans="1:6">
      <c r="D2" t="str">
        <f>'EV using eff. market approach'!D2</f>
        <v>Shares outstanding (Dec 2019, M)</v>
      </c>
      <c r="E2" s="9">
        <f>'EV using eff. market approach'!E2</f>
        <v>552.66</v>
      </c>
      <c r="F2"/>
    </row>
    <row r="3" spans="1:6">
      <c r="D3" t="str">
        <f>'EV using eff. market approach'!D3</f>
        <v>Share price (Dec 2019, $)</v>
      </c>
      <c r="E3" s="85">
        <f>'EV using eff. market approach'!E3</f>
        <v>147.68</v>
      </c>
      <c r="F3"/>
    </row>
    <row r="4" spans="1:6">
      <c r="D4" s="87" t="str">
        <f>'EV using eff. market approach'!D4</f>
        <v>Market capitalization ($M) - equity value</v>
      </c>
      <c r="E4" s="88">
        <f>'EV using eff. market approach'!E4</f>
        <v>81616.828800000003</v>
      </c>
      <c r="F4"/>
    </row>
    <row r="5" spans="1:6" ht="14.1">
      <c r="A5" s="11" t="s">
        <v>10</v>
      </c>
      <c r="B5" s="9"/>
      <c r="D5" s="68"/>
      <c r="E5" s="4"/>
      <c r="F5"/>
    </row>
    <row r="6" spans="1:6">
      <c r="A6" s="92" t="s">
        <v>152</v>
      </c>
      <c r="B6" s="90">
        <f>B9-B8-B7</f>
        <v>79891.828800000003</v>
      </c>
      <c r="C6" t="str">
        <f ca="1">"&lt;--"&amp;_xlfn.FORMULATEXT(B6)</f>
        <v>&lt;--=B9-B8-B7</v>
      </c>
      <c r="D6" s="14" t="s">
        <v>125</v>
      </c>
      <c r="E6" s="16">
        <f>'CAT oper. balance sheet'!E11</f>
        <v>42996</v>
      </c>
      <c r="F6"/>
    </row>
    <row r="7" spans="1:6">
      <c r="A7" s="92" t="str">
        <f>'CAT oper. balance sheet'!A4</f>
        <v>Net working capital</v>
      </c>
      <c r="B7" s="80">
        <f>'CAT oper. balance sheet'!B4</f>
        <v>33620</v>
      </c>
      <c r="F7"/>
    </row>
    <row r="8" spans="1:6" ht="14.25" customHeight="1">
      <c r="A8" s="92" t="str">
        <f>'CAT oper. balance sheet'!A5</f>
        <v>Goodwill and intangible</v>
      </c>
      <c r="B8" s="80">
        <f>'CAT oper. balance sheet'!B5</f>
        <v>7761</v>
      </c>
      <c r="D8" s="63"/>
      <c r="E8" s="4"/>
      <c r="F8"/>
    </row>
    <row r="9" spans="1:6" ht="14.1">
      <c r="A9" s="93" t="s">
        <v>345</v>
      </c>
      <c r="B9" s="91">
        <f>B12-B10</f>
        <v>121272.8288</v>
      </c>
      <c r="C9" t="str">
        <f ca="1">"&lt;--"&amp;_xlfn.FORMULATEXT(B9)</f>
        <v>&lt;--=B12-B10</v>
      </c>
      <c r="D9" s="63"/>
      <c r="E9" s="4"/>
      <c r="F9"/>
    </row>
    <row r="10" spans="1:6">
      <c r="A10" s="1" t="str">
        <f>'CAT oper. balance sheet'!A8</f>
        <v>Other assets</v>
      </c>
      <c r="B10" s="81">
        <f>'CAT oper. balance sheet'!B8</f>
        <v>3340</v>
      </c>
      <c r="D10" s="14" t="s">
        <v>4</v>
      </c>
      <c r="E10" s="16">
        <f>E4</f>
        <v>81616.828800000003</v>
      </c>
      <c r="F10"/>
    </row>
    <row r="11" spans="1:6">
      <c r="F11"/>
    </row>
    <row r="12" spans="1:6" ht="14.1">
      <c r="A12" s="5" t="s">
        <v>41</v>
      </c>
      <c r="B12" s="12">
        <f>E12</f>
        <v>124612.8288</v>
      </c>
      <c r="C12" t="str">
        <f ca="1">"&lt;--"&amp;_xlfn.FORMULATEXT(B12)</f>
        <v>&lt;--=E12</v>
      </c>
      <c r="D12" s="11" t="s">
        <v>41</v>
      </c>
      <c r="E12" s="13">
        <f>E10+E6</f>
        <v>124612.8288</v>
      </c>
      <c r="F12"/>
    </row>
    <row r="13" spans="1:6" ht="14.1">
      <c r="A13" s="1"/>
      <c r="B13" s="9"/>
      <c r="D13" s="11"/>
      <c r="E13" s="13"/>
      <c r="F13"/>
    </row>
    <row r="14" spans="1:6" ht="14.1">
      <c r="A14" s="84"/>
      <c r="B14" s="9"/>
      <c r="F14"/>
    </row>
    <row r="15" spans="1:6">
      <c r="B15" s="9"/>
      <c r="F15"/>
    </row>
    <row r="16" spans="1:6">
      <c r="B16" s="9"/>
      <c r="F16"/>
    </row>
    <row r="17" spans="1:6">
      <c r="B17" s="4"/>
      <c r="F17"/>
    </row>
    <row r="18" spans="1:6">
      <c r="B18" s="4"/>
      <c r="F18"/>
    </row>
    <row r="19" spans="1:6">
      <c r="B19" s="4"/>
      <c r="F19"/>
    </row>
    <row r="20" spans="1:6">
      <c r="B20" s="4"/>
      <c r="F20"/>
    </row>
    <row r="21" spans="1:6" ht="14.1">
      <c r="A21" s="11"/>
      <c r="B21" s="12"/>
      <c r="F21"/>
    </row>
    <row r="22" spans="1:6">
      <c r="A22" s="1"/>
      <c r="B22" s="4"/>
      <c r="E22" s="4"/>
    </row>
    <row r="23" spans="1:6">
      <c r="A23" s="1"/>
      <c r="E23" s="4"/>
    </row>
    <row r="24" spans="1:6">
      <c r="A24" s="1"/>
      <c r="B24" s="4"/>
      <c r="E24" s="4"/>
    </row>
    <row r="25" spans="1:6">
      <c r="A25" s="1"/>
      <c r="B25" s="4"/>
      <c r="E25" s="4"/>
    </row>
    <row r="26" spans="1:6">
      <c r="A26" s="1"/>
      <c r="B26" s="4"/>
      <c r="E26" s="4"/>
    </row>
    <row r="27" spans="1:6">
      <c r="A27" s="1"/>
      <c r="B27" s="4"/>
      <c r="E27" s="4"/>
    </row>
    <row r="28" spans="1:6">
      <c r="A28" s="1"/>
      <c r="B28" s="4"/>
      <c r="D28" s="64"/>
      <c r="E28" s="65"/>
    </row>
    <row r="29" spans="1:6">
      <c r="A29" s="1"/>
      <c r="B29" s="4"/>
      <c r="E29" s="4"/>
    </row>
    <row r="30" spans="1:6">
      <c r="A30" s="1"/>
      <c r="E30" s="4"/>
    </row>
    <row r="31" spans="1:6">
      <c r="A31" s="1"/>
      <c r="E31" s="4"/>
    </row>
    <row r="32" spans="1:6">
      <c r="A32" s="1"/>
      <c r="E32" s="4"/>
    </row>
    <row r="33" spans="1:5">
      <c r="A33" s="1"/>
      <c r="E33" s="4"/>
    </row>
    <row r="34" spans="1:5">
      <c r="A34" s="1"/>
      <c r="E34" s="4"/>
    </row>
    <row r="35" spans="1:5">
      <c r="A35" s="1"/>
      <c r="B35" s="4"/>
      <c r="E35" s="4"/>
    </row>
  </sheetData>
  <mergeCells count="1">
    <mergeCell ref="A1:E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61B39-1F81-4C5F-8235-D28066247B6D}">
  <sheetPr codeName="Sheet1"/>
  <dimension ref="A1:G71"/>
  <sheetViews>
    <sheetView topLeftCell="A10" workbookViewId="0">
      <selection activeCell="A28" sqref="A1:F28"/>
    </sheetView>
  </sheetViews>
  <sheetFormatPr defaultColWidth="8.6640625" defaultRowHeight="13.8"/>
  <cols>
    <col min="1" max="1" width="37.42578125" style="94" customWidth="1"/>
    <col min="2" max="2" width="7.94921875" style="94" bestFit="1" customWidth="1"/>
    <col min="3" max="3" width="17.046875" style="94" customWidth="1"/>
    <col min="4" max="4" width="36.42578125" style="94" bestFit="1" customWidth="1"/>
    <col min="5" max="5" width="6.140625" style="94" bestFit="1" customWidth="1"/>
    <col min="6" max="6" width="14.33203125" style="94" bestFit="1" customWidth="1"/>
    <col min="7" max="16384" width="8.6640625" style="94"/>
  </cols>
  <sheetData>
    <row r="1" spans="1:6" ht="33.75" customHeight="1">
      <c r="A1" s="226" t="s">
        <v>287</v>
      </c>
      <c r="B1" s="226"/>
      <c r="C1" s="226"/>
      <c r="D1" s="226"/>
      <c r="E1" s="226"/>
      <c r="F1" s="226"/>
    </row>
    <row r="2" spans="1:6" ht="14.1">
      <c r="A2" s="97" t="s">
        <v>0</v>
      </c>
      <c r="D2" s="97" t="s">
        <v>286</v>
      </c>
    </row>
    <row r="3" spans="1:6">
      <c r="A3" s="100" t="s">
        <v>119</v>
      </c>
      <c r="B3" s="173">
        <v>3857</v>
      </c>
      <c r="D3" s="94" t="s">
        <v>159</v>
      </c>
      <c r="E3" s="98">
        <v>10784</v>
      </c>
    </row>
    <row r="4" spans="1:6">
      <c r="A4" s="100" t="s">
        <v>24</v>
      </c>
      <c r="B4" s="173">
        <v>581</v>
      </c>
      <c r="D4" s="94" t="s">
        <v>160</v>
      </c>
      <c r="E4" s="98">
        <v>4321</v>
      </c>
    </row>
    <row r="5" spans="1:6">
      <c r="A5" s="100" t="s">
        <v>154</v>
      </c>
      <c r="B5" s="173">
        <v>46</v>
      </c>
      <c r="D5" s="94" t="s">
        <v>161</v>
      </c>
      <c r="E5" s="98">
        <v>142</v>
      </c>
    </row>
    <row r="6" spans="1:6">
      <c r="A6" s="100" t="s">
        <v>279</v>
      </c>
      <c r="B6" s="173">
        <v>5230</v>
      </c>
      <c r="D6" s="94" t="s">
        <v>162</v>
      </c>
      <c r="E6" s="98">
        <v>9656</v>
      </c>
    </row>
    <row r="7" spans="1:6">
      <c r="A7" s="100" t="s">
        <v>280</v>
      </c>
      <c r="B7" s="173">
        <v>29195</v>
      </c>
      <c r="D7" s="94" t="s">
        <v>158</v>
      </c>
      <c r="E7" s="98">
        <v>495</v>
      </c>
    </row>
    <row r="8" spans="1:6">
      <c r="A8" s="100" t="s">
        <v>281</v>
      </c>
      <c r="B8" s="173">
        <v>4383</v>
      </c>
      <c r="D8" s="94" t="s">
        <v>163</v>
      </c>
      <c r="E8" s="98">
        <v>30229</v>
      </c>
    </row>
    <row r="9" spans="1:6">
      <c r="A9" s="100" t="s">
        <v>155</v>
      </c>
      <c r="B9" s="173">
        <v>1487</v>
      </c>
      <c r="D9" s="94" t="s">
        <v>164</v>
      </c>
      <c r="E9" s="98">
        <v>5953</v>
      </c>
    </row>
    <row r="10" spans="1:6" ht="14.1">
      <c r="A10" s="100" t="s">
        <v>282</v>
      </c>
      <c r="B10" s="173">
        <v>7567</v>
      </c>
      <c r="D10" s="97" t="s">
        <v>122</v>
      </c>
      <c r="E10" s="99">
        <f>SUM(E3:E9)</f>
        <v>61580</v>
      </c>
      <c r="F10" s="94" t="str">
        <f ca="1">"&lt;--"&amp;_xlfn.FORMULATEXT(E10)</f>
        <v>&lt;--=SUM(E3:E9)</v>
      </c>
    </row>
    <row r="11" spans="1:6">
      <c r="A11" s="100" t="s">
        <v>18</v>
      </c>
      <c r="B11" s="173">
        <v>5975</v>
      </c>
      <c r="D11" s="94" t="s">
        <v>285</v>
      </c>
      <c r="E11" s="98">
        <v>14</v>
      </c>
    </row>
    <row r="12" spans="1:6">
      <c r="A12" s="100" t="s">
        <v>283</v>
      </c>
      <c r="B12" s="173">
        <v>5973</v>
      </c>
    </row>
    <row r="13" spans="1:6" ht="14.1">
      <c r="A13" s="100" t="s">
        <v>156</v>
      </c>
      <c r="B13" s="173">
        <v>215</v>
      </c>
      <c r="D13" s="97" t="s">
        <v>166</v>
      </c>
      <c r="E13" s="99">
        <v>11417</v>
      </c>
    </row>
    <row r="14" spans="1:6">
      <c r="A14" s="100" t="s">
        <v>20</v>
      </c>
      <c r="B14" s="173">
        <v>2917</v>
      </c>
      <c r="E14" s="98"/>
    </row>
    <row r="15" spans="1:6">
      <c r="A15" s="100" t="s">
        <v>284</v>
      </c>
      <c r="B15" s="173">
        <v>1380</v>
      </c>
      <c r="E15" s="98"/>
    </row>
    <row r="16" spans="1:6">
      <c r="A16" s="100" t="s">
        <v>157</v>
      </c>
      <c r="B16" s="173">
        <v>840</v>
      </c>
      <c r="E16" s="98"/>
    </row>
    <row r="17" spans="1:7">
      <c r="A17" s="100" t="s">
        <v>158</v>
      </c>
      <c r="B17" s="173">
        <v>1466</v>
      </c>
      <c r="E17" s="98"/>
    </row>
    <row r="18" spans="1:7" ht="14.1">
      <c r="A18" s="100" t="s">
        <v>123</v>
      </c>
      <c r="B18" s="173">
        <v>1899</v>
      </c>
      <c r="D18" s="97"/>
      <c r="E18" s="99"/>
      <c r="F18" s="97"/>
    </row>
    <row r="19" spans="1:7" ht="14.1">
      <c r="A19" s="97" t="s">
        <v>3</v>
      </c>
      <c r="B19" s="99">
        <f>SUM(B3:B18)</f>
        <v>73011</v>
      </c>
      <c r="C19" s="94" t="str">
        <f ca="1">"&lt;--"&amp;_xlfn.FORMULATEXT(B19)</f>
        <v>&lt;--=SUM(B3:B18)</v>
      </c>
      <c r="D19" s="97" t="s">
        <v>273</v>
      </c>
      <c r="E19" s="99">
        <f>E13+E10</f>
        <v>72997</v>
      </c>
      <c r="G19" s="98"/>
    </row>
    <row r="21" spans="1:7" ht="14.1">
      <c r="A21" s="97" t="s">
        <v>187</v>
      </c>
      <c r="B21" s="97"/>
    </row>
    <row r="22" spans="1:7">
      <c r="A22" s="94" t="str">
        <f>A39</f>
        <v>Net sales and revenues</v>
      </c>
      <c r="B22" s="98">
        <f>B39</f>
        <v>39258</v>
      </c>
    </row>
    <row r="23" spans="1:7">
      <c r="A23" s="94" t="s">
        <v>175</v>
      </c>
      <c r="B23" s="98">
        <f>B44-SUM(B41:B43)</f>
        <v>28370</v>
      </c>
    </row>
    <row r="24" spans="1:7" ht="14.1">
      <c r="A24" s="97" t="s">
        <v>186</v>
      </c>
      <c r="B24" s="99">
        <f>B22-B23</f>
        <v>10888</v>
      </c>
      <c r="C24" s="97" t="str">
        <f ca="1">"&lt;--"&amp;_xlfn.FORMULATEXT(B24)</f>
        <v>&lt;--=B22-B23</v>
      </c>
    </row>
    <row r="25" spans="1:7" ht="27.9">
      <c r="A25" s="181" t="s">
        <v>189</v>
      </c>
      <c r="B25" s="173">
        <f>B27+B26</f>
        <v>6107</v>
      </c>
      <c r="C25" s="97"/>
    </row>
    <row r="26" spans="1:7" ht="14.1">
      <c r="A26" s="100" t="s">
        <v>188</v>
      </c>
      <c r="B26" s="173">
        <v>2019</v>
      </c>
      <c r="C26" s="97"/>
    </row>
    <row r="27" spans="1:7">
      <c r="A27" s="100" t="s">
        <v>348</v>
      </c>
      <c r="B27" s="173">
        <f>B45</f>
        <v>4088</v>
      </c>
    </row>
    <row r="28" spans="1:7" ht="14.1">
      <c r="A28" s="97" t="str">
        <f>A49</f>
        <v>Net income</v>
      </c>
      <c r="B28" s="99">
        <f>B49</f>
        <v>3257</v>
      </c>
    </row>
    <row r="30" spans="1:7">
      <c r="B30" s="98"/>
    </row>
    <row r="32" spans="1:7">
      <c r="A32" s="95" t="s">
        <v>153</v>
      </c>
    </row>
    <row r="33" spans="1:4">
      <c r="A33" s="96" t="s">
        <v>172</v>
      </c>
    </row>
    <row r="34" spans="1:4">
      <c r="A34" s="96" t="s">
        <v>303</v>
      </c>
      <c r="B34" s="94" t="s">
        <v>304</v>
      </c>
      <c r="C34" s="155" t="s">
        <v>305</v>
      </c>
    </row>
    <row r="35" spans="1:4">
      <c r="A35" s="95" t="s">
        <v>167</v>
      </c>
    </row>
    <row r="36" spans="1:4" ht="28.8">
      <c r="A36" s="175" t="s">
        <v>288</v>
      </c>
      <c r="B36" s="180" t="s">
        <v>289</v>
      </c>
      <c r="C36"/>
      <c r="D36"/>
    </row>
    <row r="37" spans="1:4" ht="28.8">
      <c r="A37"/>
      <c r="B37" s="176" t="s">
        <v>290</v>
      </c>
      <c r="C37" s="176" t="s">
        <v>291</v>
      </c>
      <c r="D37" s="176" t="s">
        <v>292</v>
      </c>
    </row>
    <row r="38" spans="1:4" ht="14.4">
      <c r="A38" s="174" t="s">
        <v>173</v>
      </c>
      <c r="B38"/>
      <c r="C38"/>
      <c r="D38"/>
    </row>
    <row r="39" spans="1:4" ht="14.4">
      <c r="A39" s="170" t="s">
        <v>293</v>
      </c>
      <c r="B39" s="171">
        <v>39258</v>
      </c>
      <c r="C39" s="171">
        <v>37358</v>
      </c>
      <c r="D39" s="171">
        <v>29738</v>
      </c>
    </row>
    <row r="40" spans="1:4" ht="14.4">
      <c r="A40" s="174" t="s">
        <v>174</v>
      </c>
      <c r="B40"/>
      <c r="C40"/>
      <c r="D40"/>
    </row>
    <row r="41" spans="1:4" ht="14.4">
      <c r="A41" s="170" t="s">
        <v>176</v>
      </c>
      <c r="B41" s="172">
        <v>1783</v>
      </c>
      <c r="C41" s="172">
        <v>1658</v>
      </c>
      <c r="D41" s="172">
        <v>1373</v>
      </c>
    </row>
    <row r="42" spans="1:4" ht="14.4">
      <c r="A42" s="170" t="s">
        <v>177</v>
      </c>
      <c r="B42" s="172">
        <v>3551</v>
      </c>
      <c r="C42" s="172">
        <v>3455</v>
      </c>
      <c r="D42" s="172">
        <v>3098</v>
      </c>
    </row>
    <row r="43" spans="1:4" ht="14.4">
      <c r="A43" s="170" t="s">
        <v>178</v>
      </c>
      <c r="B43" s="172">
        <v>1466</v>
      </c>
      <c r="C43" s="172">
        <v>1204</v>
      </c>
      <c r="D43" s="172">
        <v>899</v>
      </c>
    </row>
    <row r="44" spans="1:4" ht="14.4">
      <c r="A44" s="170" t="s">
        <v>41</v>
      </c>
      <c r="B44" s="172">
        <v>35170</v>
      </c>
      <c r="C44" s="172">
        <v>33287</v>
      </c>
      <c r="D44" s="172">
        <v>26584</v>
      </c>
    </row>
    <row r="45" spans="1:4" ht="28.8">
      <c r="A45" s="170" t="s">
        <v>179</v>
      </c>
      <c r="B45" s="172">
        <v>4088</v>
      </c>
      <c r="C45" s="172">
        <v>4071</v>
      </c>
      <c r="D45" s="172">
        <v>3154</v>
      </c>
    </row>
    <row r="46" spans="1:4" ht="14.4">
      <c r="A46" s="170" t="s">
        <v>180</v>
      </c>
      <c r="B46" s="172">
        <v>852</v>
      </c>
      <c r="C46" s="172">
        <v>1727</v>
      </c>
      <c r="D46" s="172">
        <v>971</v>
      </c>
    </row>
    <row r="47" spans="1:4" ht="14.4">
      <c r="A47" s="170" t="s">
        <v>181</v>
      </c>
      <c r="B47" s="172">
        <v>3236</v>
      </c>
      <c r="C47" s="172">
        <v>2344</v>
      </c>
      <c r="D47" s="172">
        <v>2183</v>
      </c>
    </row>
    <row r="48" spans="1:4" ht="14.4">
      <c r="A48" s="170" t="s">
        <v>182</v>
      </c>
      <c r="B48" s="172">
        <v>21</v>
      </c>
      <c r="C48" s="172">
        <v>27</v>
      </c>
      <c r="D48" s="172">
        <v>-24</v>
      </c>
    </row>
    <row r="49" spans="1:4" ht="14.4">
      <c r="A49" s="170" t="s">
        <v>347</v>
      </c>
      <c r="B49" s="172">
        <v>3257</v>
      </c>
      <c r="C49" s="172">
        <v>2371</v>
      </c>
      <c r="D49" s="172">
        <v>2159</v>
      </c>
    </row>
    <row r="50" spans="1:4" ht="28.8">
      <c r="A50" s="170" t="s">
        <v>294</v>
      </c>
      <c r="B50" s="172">
        <v>4</v>
      </c>
      <c r="C50" s="172">
        <v>3</v>
      </c>
      <c r="D50" s="172">
        <v>0</v>
      </c>
    </row>
    <row r="51" spans="1:4" ht="14.4">
      <c r="A51" s="170" t="s">
        <v>183</v>
      </c>
      <c r="B51" s="171">
        <v>3253</v>
      </c>
      <c r="C51" s="171">
        <v>2368</v>
      </c>
      <c r="D51" s="171">
        <v>2159</v>
      </c>
    </row>
    <row r="52" spans="1:4" ht="14.4">
      <c r="A52" s="174" t="s">
        <v>184</v>
      </c>
      <c r="B52"/>
      <c r="C52"/>
      <c r="D52"/>
    </row>
    <row r="53" spans="1:4" ht="14.4">
      <c r="A53" s="170" t="s">
        <v>295</v>
      </c>
      <c r="B53" s="177">
        <v>10.28</v>
      </c>
      <c r="C53" s="177">
        <v>7.34</v>
      </c>
      <c r="D53" s="177">
        <v>6.76</v>
      </c>
    </row>
    <row r="54" spans="1:4" ht="14.4">
      <c r="A54" s="170" t="s">
        <v>296</v>
      </c>
      <c r="B54" s="178">
        <v>10.15</v>
      </c>
      <c r="C54" s="178">
        <v>7.24</v>
      </c>
      <c r="D54" s="178">
        <v>6.68</v>
      </c>
    </row>
    <row r="55" spans="1:4" ht="14.4">
      <c r="A55" s="170" t="s">
        <v>297</v>
      </c>
      <c r="B55" s="177">
        <v>3.04</v>
      </c>
      <c r="C55" s="177">
        <v>2.58</v>
      </c>
      <c r="D55" s="177">
        <v>2.4</v>
      </c>
    </row>
    <row r="56" spans="1:4" ht="14.4">
      <c r="A56" s="174" t="s">
        <v>185</v>
      </c>
      <c r="B56"/>
      <c r="C56"/>
      <c r="D56"/>
    </row>
    <row r="57" spans="1:4" ht="14.4">
      <c r="A57" s="170" t="s">
        <v>298</v>
      </c>
      <c r="B57" s="179">
        <v>316.5</v>
      </c>
      <c r="C57" s="179">
        <v>322.60000000000002</v>
      </c>
      <c r="D57" s="179">
        <v>319.5</v>
      </c>
    </row>
    <row r="58" spans="1:4" ht="14.4">
      <c r="A58" s="170" t="s">
        <v>299</v>
      </c>
      <c r="B58" s="179">
        <v>320.60000000000002</v>
      </c>
      <c r="C58" s="179">
        <v>327.3</v>
      </c>
      <c r="D58" s="179">
        <v>323.3</v>
      </c>
    </row>
    <row r="59" spans="1:4" ht="14.4">
      <c r="A59" s="170" t="s">
        <v>300</v>
      </c>
      <c r="B59"/>
      <c r="C59"/>
      <c r="D59"/>
    </row>
    <row r="60" spans="1:4" ht="14.4">
      <c r="A60" s="174" t="s">
        <v>173</v>
      </c>
      <c r="B60"/>
      <c r="C60"/>
      <c r="D60"/>
    </row>
    <row r="61" spans="1:4" ht="14.4">
      <c r="A61" s="170" t="s">
        <v>293</v>
      </c>
      <c r="B61" s="171">
        <v>34886</v>
      </c>
      <c r="C61" s="171">
        <v>33351</v>
      </c>
      <c r="D61" s="171">
        <v>25885</v>
      </c>
    </row>
    <row r="62" spans="1:4" ht="14.4">
      <c r="A62" s="174" t="s">
        <v>174</v>
      </c>
      <c r="B62"/>
      <c r="C62"/>
      <c r="D62"/>
    </row>
    <row r="63" spans="1:4" ht="14.4">
      <c r="A63" s="170" t="s">
        <v>301</v>
      </c>
      <c r="B63" s="172">
        <v>26792</v>
      </c>
      <c r="C63" s="172">
        <v>25571</v>
      </c>
      <c r="D63" s="172">
        <v>19866</v>
      </c>
    </row>
    <row r="64" spans="1:4" ht="14.4">
      <c r="A64" s="170" t="s">
        <v>302</v>
      </c>
      <c r="B64"/>
      <c r="C64"/>
      <c r="D64"/>
    </row>
    <row r="65" spans="1:4" ht="14.4">
      <c r="A65" s="174" t="s">
        <v>173</v>
      </c>
      <c r="B65"/>
      <c r="C65"/>
      <c r="D65"/>
    </row>
    <row r="66" spans="1:4" ht="14.4">
      <c r="A66" s="170" t="s">
        <v>293</v>
      </c>
      <c r="B66" s="172">
        <v>3493</v>
      </c>
      <c r="C66" s="172">
        <v>3107</v>
      </c>
      <c r="D66" s="172">
        <v>2732</v>
      </c>
    </row>
    <row r="67" spans="1:4" ht="14.4">
      <c r="A67" s="170" t="s">
        <v>170</v>
      </c>
      <c r="B67"/>
      <c r="C67"/>
      <c r="D67"/>
    </row>
    <row r="68" spans="1:4" ht="14.4">
      <c r="A68" s="174" t="s">
        <v>173</v>
      </c>
      <c r="B68"/>
      <c r="C68"/>
      <c r="D68"/>
    </row>
    <row r="69" spans="1:4" ht="14.4">
      <c r="A69" s="170" t="s">
        <v>293</v>
      </c>
      <c r="B69" s="172">
        <v>879</v>
      </c>
      <c r="C69" s="172">
        <v>900</v>
      </c>
      <c r="D69" s="172">
        <v>1121</v>
      </c>
    </row>
    <row r="70" spans="1:4" ht="14.4">
      <c r="A70" s="174" t="s">
        <v>174</v>
      </c>
      <c r="B70"/>
      <c r="C70"/>
      <c r="D70"/>
    </row>
    <row r="71" spans="1:4" ht="14.4">
      <c r="A71" s="170" t="s">
        <v>301</v>
      </c>
      <c r="B71" s="171">
        <v>1578</v>
      </c>
      <c r="C71" s="171">
        <v>1399</v>
      </c>
      <c r="D71" s="171">
        <v>1348</v>
      </c>
    </row>
  </sheetData>
  <mergeCells count="1">
    <mergeCell ref="A1:F1"/>
  </mergeCells>
  <hyperlinks>
    <hyperlink ref="C34" r:id="rId1" display="https://www.sec.gov/cgi-bin/viewer?action=view&amp;cik=315189&amp;accession_number=0001558370-19-011614&amp;xbrl_type=v" xr:uid="{5CB856C0-79E4-4CFE-ABD8-B28515E43524}"/>
  </hyperlink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E279DE-96CE-4DDB-89B7-E585516D1705}">
  <sheetPr codeName="Sheet4"/>
  <dimension ref="A1:M140"/>
  <sheetViews>
    <sheetView topLeftCell="A28" zoomScale="90" zoomScaleNormal="115" workbookViewId="0">
      <selection activeCell="B50" sqref="A31:D50"/>
    </sheetView>
  </sheetViews>
  <sheetFormatPr defaultColWidth="8.6640625" defaultRowHeight="13.8"/>
  <cols>
    <col min="1" max="1" width="41.234375" style="94" customWidth="1"/>
    <col min="2" max="2" width="14.6171875" style="94" bestFit="1" customWidth="1"/>
    <col min="3" max="3" width="16.7109375" style="94" bestFit="1" customWidth="1"/>
    <col min="4" max="4" width="33.80859375" style="94" bestFit="1" customWidth="1"/>
    <col min="5" max="5" width="6.28515625" style="94" bestFit="1" customWidth="1"/>
    <col min="6" max="6" width="17.37890625" style="94" bestFit="1" customWidth="1"/>
    <col min="7" max="16384" width="8.6640625" style="94"/>
  </cols>
  <sheetData>
    <row r="1" spans="1:8" ht="54.25" customHeight="1">
      <c r="A1" s="226" t="s">
        <v>306</v>
      </c>
      <c r="B1" s="226"/>
      <c r="C1" s="226"/>
      <c r="D1" s="226"/>
      <c r="E1" s="226"/>
      <c r="F1" s="226"/>
    </row>
    <row r="2" spans="1:8" ht="14.1">
      <c r="A2" s="11" t="s">
        <v>147</v>
      </c>
      <c r="D2" s="97" t="s">
        <v>125</v>
      </c>
    </row>
    <row r="3" spans="1:8">
      <c r="A3" s="6" t="str">
        <f>'DE financials 2019'!A12</f>
        <v>Property and equipment - net</v>
      </c>
      <c r="B3" s="98">
        <f>SUM('DE financials 2019'!B10,'DE financials 2019'!B12,'DE financials 2019'!B13)</f>
        <v>13755</v>
      </c>
      <c r="D3" s="101" t="str">
        <f>'DE financials 2019'!D3</f>
        <v>Short-term borrowings</v>
      </c>
      <c r="E3" s="98">
        <f>'DE financials 2019'!E3</f>
        <v>10784</v>
      </c>
    </row>
    <row r="4" spans="1:8">
      <c r="A4" s="6" t="s">
        <v>9</v>
      </c>
      <c r="B4" s="98">
        <f>SUM('DE financials 2019'!B5:B9,'DE financials 2019'!B11,'DE financials 2019'!B16,'DE financials 2019'!B17)-SUM('DE financials 2019'!E4:E7)</f>
        <v>34008</v>
      </c>
      <c r="D4" s="101" t="str">
        <f>'DE financials 2019'!D8</f>
        <v>Long-term borrowings</v>
      </c>
      <c r="E4" s="98">
        <f>'DE financials 2019'!E8</f>
        <v>30229</v>
      </c>
    </row>
    <row r="5" spans="1:8">
      <c r="A5" s="6" t="s">
        <v>349</v>
      </c>
      <c r="B5" s="98">
        <f>SUM('DE financials 2019'!B14:B15)</f>
        <v>4297</v>
      </c>
      <c r="D5" s="101" t="str">
        <f>'DE financials 2019'!D11</f>
        <v>Redeemable noncontrolling interest</v>
      </c>
      <c r="E5" s="98">
        <f>'DE financials 2019'!E11</f>
        <v>14</v>
      </c>
    </row>
    <row r="6" spans="1:8" ht="14.1">
      <c r="A6" s="97" t="s">
        <v>148</v>
      </c>
      <c r="B6" s="99">
        <f>SUM(B3:B5)</f>
        <v>52060</v>
      </c>
      <c r="C6" s="97" t="str">
        <f ca="1">"&lt;--"&amp;_xlfn.FORMULATEXT(B6)</f>
        <v>&lt;--=SUM(B3:B5)</v>
      </c>
      <c r="D6" s="101" t="str">
        <f>'DE financials 2019'!D9</f>
        <v>Retirement benefits and other liabilities</v>
      </c>
      <c r="E6" s="98">
        <f>'DE financials 2019'!E9</f>
        <v>5953</v>
      </c>
    </row>
    <row r="7" spans="1:8">
      <c r="A7" s="83"/>
      <c r="B7" s="98"/>
      <c r="D7" s="2" t="str">
        <f>"Less "&amp;LOWER('DE financials 2019'!A3)</f>
        <v>Less cash and cash equivalents</v>
      </c>
      <c r="E7" s="98">
        <f>-'DE financials 2019'!B3</f>
        <v>-3857</v>
      </c>
    </row>
    <row r="8" spans="1:8">
      <c r="D8" s="2" t="str">
        <f>"Less "&amp;LOWER('DE financials 2019'!A4)</f>
        <v>Less marketable securities</v>
      </c>
      <c r="E8" s="98">
        <f>-'DE financials 2019'!B4</f>
        <v>-581</v>
      </c>
    </row>
    <row r="9" spans="1:8" ht="14.1">
      <c r="A9" s="8" t="str">
        <f>'DE financials 2019'!A18</f>
        <v>Other assets</v>
      </c>
      <c r="B9" s="98">
        <f>'DE financials 2019'!B18</f>
        <v>1899</v>
      </c>
      <c r="D9" s="97" t="s">
        <v>125</v>
      </c>
      <c r="E9" s="99">
        <f>SUM(E3:E8)</f>
        <v>42542</v>
      </c>
      <c r="F9" s="97" t="str">
        <f ca="1">"&lt;--"&amp;_xlfn.FORMULATEXT(E9)</f>
        <v>&lt;--=SUM(E3:E8)</v>
      </c>
    </row>
    <row r="10" spans="1:8" ht="14.1">
      <c r="A10" s="5"/>
      <c r="B10" s="99"/>
      <c r="C10" s="97"/>
      <c r="D10" s="97" t="s">
        <v>4</v>
      </c>
      <c r="E10" s="99">
        <f>B12-E9</f>
        <v>11417</v>
      </c>
      <c r="F10" s="97" t="str">
        <f ca="1">"&lt;--"&amp;_xlfn.FORMULATEXT(E10)</f>
        <v>&lt;--=B12-E9</v>
      </c>
      <c r="H10" s="98"/>
    </row>
    <row r="12" spans="1:8" ht="14.1">
      <c r="A12" s="97" t="s">
        <v>3</v>
      </c>
      <c r="B12" s="99">
        <f>SUM(B6:B11)</f>
        <v>53959</v>
      </c>
      <c r="C12" s="97" t="str">
        <f ca="1">"&lt;--"&amp;_xlfn.FORMULATEXT(B12)</f>
        <v>&lt;--=SUM(B6:B11)</v>
      </c>
      <c r="D12" s="97" t="s">
        <v>190</v>
      </c>
      <c r="E12" s="99">
        <f>SUM(E9:E10)</f>
        <v>53959</v>
      </c>
      <c r="F12" s="97" t="str">
        <f ca="1">"&lt;--"&amp;_xlfn.FORMULATEXT(E12)</f>
        <v>&lt;--=SUM(E9:E10)</v>
      </c>
    </row>
    <row r="14" spans="1:8" ht="18" customHeight="1">
      <c r="A14" s="226" t="s">
        <v>191</v>
      </c>
      <c r="B14" s="226"/>
      <c r="C14" s="226"/>
      <c r="D14" s="226"/>
      <c r="E14" s="226"/>
      <c r="F14" s="226"/>
    </row>
    <row r="15" spans="1:8">
      <c r="A15"/>
      <c r="B15"/>
      <c r="C15"/>
      <c r="D15" t="s">
        <v>307</v>
      </c>
      <c r="E15" s="85">
        <v>313.14041500000002</v>
      </c>
    </row>
    <row r="16" spans="1:8">
      <c r="A16"/>
      <c r="B16"/>
      <c r="C16"/>
      <c r="D16" t="s">
        <v>308</v>
      </c>
      <c r="E16" s="85">
        <v>176.11</v>
      </c>
    </row>
    <row r="17" spans="1:6">
      <c r="A17"/>
      <c r="B17"/>
      <c r="C17"/>
      <c r="D17" s="87" t="s">
        <v>150</v>
      </c>
      <c r="E17" s="88">
        <f>E16*E15</f>
        <v>55147.158485650005</v>
      </c>
      <c r="F17" s="94" t="str">
        <f ca="1">"&lt;--"&amp;_xlfn.FORMULATEXT(E17)</f>
        <v>&lt;--=E16*E15</v>
      </c>
    </row>
    <row r="18" spans="1:6" ht="14.1">
      <c r="A18" s="11"/>
      <c r="B18" s="9"/>
      <c r="C18"/>
      <c r="D18" s="68"/>
      <c r="E18" s="4"/>
    </row>
    <row r="19" spans="1:6" ht="14.1">
      <c r="A19" s="93" t="s">
        <v>345</v>
      </c>
      <c r="B19" s="91">
        <f>B21-B20</f>
        <v>95790.158485649998</v>
      </c>
      <c r="C19" t="str">
        <f ca="1">"&lt;--"&amp;_xlfn.FORMULATEXT(B19)</f>
        <v>&lt;--=B21-B20</v>
      </c>
      <c r="D19" s="14" t="s">
        <v>125</v>
      </c>
      <c r="E19" s="16">
        <f>E9</f>
        <v>42542</v>
      </c>
    </row>
    <row r="20" spans="1:6">
      <c r="A20" s="1" t="str">
        <f>A9</f>
        <v>Other assets</v>
      </c>
      <c r="B20" s="81">
        <f>B9</f>
        <v>1899</v>
      </c>
      <c r="C20"/>
      <c r="D20" s="14" t="s">
        <v>4</v>
      </c>
      <c r="E20" s="16">
        <f>E17</f>
        <v>55147.158485650005</v>
      </c>
    </row>
    <row r="21" spans="1:6" ht="14.1">
      <c r="A21" s="5" t="s">
        <v>41</v>
      </c>
      <c r="B21" s="12">
        <f>E21</f>
        <v>97689.158485649998</v>
      </c>
      <c r="C21" t="str">
        <f ca="1">"&lt;--"&amp;_xlfn.FORMULATEXT(B21)</f>
        <v>&lt;--=E21</v>
      </c>
      <c r="D21" s="11" t="s">
        <v>41</v>
      </c>
      <c r="E21" s="13">
        <f>SUM(E19:E20)</f>
        <v>97689.158485649998</v>
      </c>
      <c r="F21" s="97" t="str">
        <f ca="1">"&lt;--"&amp;_xlfn.FORMULATEXT(E21)</f>
        <v>&lt;--=SUM(E19:E20)</v>
      </c>
    </row>
    <row r="23" spans="1:6" ht="17.7">
      <c r="A23" s="226" t="s">
        <v>237</v>
      </c>
      <c r="B23" s="226"/>
      <c r="C23" s="226"/>
      <c r="D23" s="226"/>
      <c r="E23" s="226"/>
      <c r="F23" s="226"/>
    </row>
    <row r="24" spans="1:6" ht="14.1">
      <c r="B24" s="99" t="s">
        <v>238</v>
      </c>
      <c r="C24" s="97" t="s">
        <v>239</v>
      </c>
      <c r="D24" s="94" t="s">
        <v>309</v>
      </c>
    </row>
    <row r="25" spans="1:6">
      <c r="A25" s="1" t="str">
        <f>'DE financials 2019'!A22</f>
        <v>Net sales and revenues</v>
      </c>
      <c r="B25" s="98">
        <f>'DE financials 2019'!B22</f>
        <v>39258</v>
      </c>
      <c r="C25" s="98">
        <f>C62</f>
        <v>53800</v>
      </c>
    </row>
    <row r="26" spans="1:6">
      <c r="A26" s="1" t="str">
        <f>'DE financials 2019'!A24</f>
        <v>Gross profit</v>
      </c>
      <c r="B26" s="104">
        <f>'DE financials 2019'!B24</f>
        <v>10888</v>
      </c>
      <c r="C26" s="98">
        <f>C62-C63</f>
        <v>17170</v>
      </c>
    </row>
    <row r="27" spans="1:6" ht="27.6">
      <c r="A27" s="1" t="str">
        <f>'DE financials 2019'!A25</f>
        <v>Earnings before interest, taxes, depreciation and amortization (EBITDA)</v>
      </c>
      <c r="B27" s="104">
        <f>'DE financials 2019'!B25</f>
        <v>6107</v>
      </c>
      <c r="C27" s="98">
        <f>C28+2577</f>
        <v>10867</v>
      </c>
    </row>
    <row r="28" spans="1:6">
      <c r="A28" s="1" t="str">
        <f>'DE financials 2019'!A27</f>
        <v>Earnings before interest and taxes (EBIT)</v>
      </c>
      <c r="B28" s="104">
        <f>'DE financials 2019'!B27</f>
        <v>4088</v>
      </c>
      <c r="C28" s="98">
        <f>C71</f>
        <v>8290</v>
      </c>
    </row>
    <row r="29" spans="1:6">
      <c r="A29" s="1" t="str">
        <f>'DE financials 2019'!A28</f>
        <v>Net income</v>
      </c>
      <c r="B29" s="104">
        <f>'DE financials 2019'!B28</f>
        <v>3257</v>
      </c>
      <c r="C29" s="98">
        <f>C76</f>
        <v>6066</v>
      </c>
    </row>
    <row r="30" spans="1:6">
      <c r="A30" s="1"/>
      <c r="B30" s="104"/>
      <c r="C30" s="98"/>
    </row>
    <row r="31" spans="1:6" ht="17.7">
      <c r="A31" s="221" t="s">
        <v>350</v>
      </c>
      <c r="B31" s="221"/>
      <c r="C31" s="221"/>
      <c r="D31" s="221"/>
      <c r="E31" s="102"/>
      <c r="F31" s="102"/>
    </row>
    <row r="32" spans="1:6" ht="14.1">
      <c r="A32" s="97" t="s">
        <v>192</v>
      </c>
      <c r="B32" s="103"/>
    </row>
    <row r="33" spans="1:3">
      <c r="A33" s="94" t="str">
        <f>A25&amp;" multiple"</f>
        <v>Net sales and revenues multiple</v>
      </c>
      <c r="B33" s="103">
        <f>$B$19/B25</f>
        <v>2.4400162638353966</v>
      </c>
      <c r="C33" s="94" t="str">
        <f ca="1">"&lt;--"&amp;_xlfn.FORMULATEXT(B33)</f>
        <v>&lt;--=$B$19/B25</v>
      </c>
    </row>
    <row r="34" spans="1:3">
      <c r="A34" s="94" t="str">
        <f t="shared" ref="A34:A37" si="0">A26&amp;" multiple"</f>
        <v>Gross profit multiple</v>
      </c>
      <c r="B34" s="103">
        <f t="shared" ref="B34:B37" si="1">$B$19/B26</f>
        <v>8.7977735567275896</v>
      </c>
      <c r="C34" s="94" t="str">
        <f t="shared" ref="C34:C37" ca="1" si="2">"&lt;--"&amp;_xlfn.FORMULATEXT(B34)</f>
        <v>&lt;--=$B$19/B26</v>
      </c>
    </row>
    <row r="35" spans="1:3" ht="27.6">
      <c r="A35" s="1" t="str">
        <f t="shared" si="0"/>
        <v>Earnings before interest, taxes, depreciation and amortization (EBITDA) multiple</v>
      </c>
      <c r="B35" s="103">
        <f t="shared" si="1"/>
        <v>15.685305139290977</v>
      </c>
      <c r="C35" s="94" t="str">
        <f t="shared" ca="1" si="2"/>
        <v>&lt;--=$B$19/B27</v>
      </c>
    </row>
    <row r="36" spans="1:3">
      <c r="A36" s="94" t="str">
        <f t="shared" si="0"/>
        <v>Earnings before interest and taxes (EBIT) multiple</v>
      </c>
      <c r="B36" s="103">
        <f t="shared" si="1"/>
        <v>23.432034854611057</v>
      </c>
      <c r="C36" s="94" t="str">
        <f t="shared" ca="1" si="2"/>
        <v>&lt;--=$B$19/B28</v>
      </c>
    </row>
    <row r="37" spans="1:3">
      <c r="A37" s="94" t="str">
        <f t="shared" si="0"/>
        <v>Net income multiple</v>
      </c>
      <c r="B37" s="103">
        <f t="shared" si="1"/>
        <v>29.410549120555725</v>
      </c>
      <c r="C37" s="94" t="str">
        <f t="shared" ca="1" si="2"/>
        <v>&lt;--=$B$19/B29</v>
      </c>
    </row>
    <row r="38" spans="1:3">
      <c r="B38" s="103"/>
    </row>
    <row r="39" spans="1:3" ht="14.1">
      <c r="A39" s="97" t="s">
        <v>193</v>
      </c>
    </row>
    <row r="40" spans="1:3" s="1" customFormat="1" ht="14.1">
      <c r="B40" s="97" t="s">
        <v>236</v>
      </c>
    </row>
    <row r="41" spans="1:3">
      <c r="A41" s="104" t="str">
        <f>"Based on "&amp;LOWER(A33)</f>
        <v>Based on net sales and revenues multiple</v>
      </c>
      <c r="B41" s="98">
        <f>B33*C25</f>
        <v>131272.87499434434</v>
      </c>
      <c r="C41" s="94" t="str">
        <f ca="1">"&lt;--"&amp;_xlfn.FORMULATEXT(B41)</f>
        <v>&lt;--=B33*C25</v>
      </c>
    </row>
    <row r="42" spans="1:3">
      <c r="A42" s="104" t="str">
        <f>"Based on "&amp;LOWER(A34)</f>
        <v>Based on gross profit multiple</v>
      </c>
      <c r="B42" s="98">
        <f t="shared" ref="B42:B45" si="3">B34*C26</f>
        <v>151057.77196901271</v>
      </c>
      <c r="C42" s="94" t="str">
        <f t="shared" ref="C42:C45" ca="1" si="4">"&lt;--"&amp;_xlfn.FORMULATEXT(B42)</f>
        <v>&lt;--=B34*C26</v>
      </c>
    </row>
    <row r="43" spans="1:3">
      <c r="A43" s="104" t="s">
        <v>351</v>
      </c>
      <c r="B43" s="98">
        <f t="shared" si="3"/>
        <v>170452.21094867506</v>
      </c>
      <c r="C43" s="94" t="str">
        <f t="shared" ca="1" si="4"/>
        <v>&lt;--=B35*C27</v>
      </c>
    </row>
    <row r="44" spans="1:3">
      <c r="A44" s="104" t="s">
        <v>352</v>
      </c>
      <c r="B44" s="98">
        <f t="shared" si="3"/>
        <v>194251.56894472567</v>
      </c>
      <c r="C44" s="94" t="str">
        <f t="shared" ca="1" si="4"/>
        <v>&lt;--=B36*C28</v>
      </c>
    </row>
    <row r="45" spans="1:3">
      <c r="A45" s="104" t="str">
        <f>"Based on "&amp;LOWER(A37)</f>
        <v>Based on net income multiple</v>
      </c>
      <c r="B45" s="98">
        <f t="shared" si="3"/>
        <v>178404.39096529104</v>
      </c>
      <c r="C45" s="94" t="str">
        <f t="shared" ca="1" si="4"/>
        <v>&lt;--=B37*C29</v>
      </c>
    </row>
    <row r="46" spans="1:3" ht="14.1">
      <c r="A46" s="121" t="s">
        <v>240</v>
      </c>
      <c r="B46" s="122">
        <f>AVERAGE(B41:B45)</f>
        <v>165087.76356440978</v>
      </c>
      <c r="C46" s="97" t="str">
        <f ca="1">"&lt;--"&amp;_xlfn.FORMULATEXT(B46)</f>
        <v>&lt;--=AVERAGE(B41:B45)</v>
      </c>
    </row>
    <row r="48" spans="1:3">
      <c r="A48" s="94" t="s">
        <v>241</v>
      </c>
      <c r="B48" s="98">
        <f>'CAT oper. balance sheet'!B8</f>
        <v>3340</v>
      </c>
    </row>
    <row r="49" spans="1:5">
      <c r="A49" s="94" t="s">
        <v>242</v>
      </c>
      <c r="B49" s="98">
        <f>-'CAT oper. balance sheet'!E11</f>
        <v>-42996</v>
      </c>
    </row>
    <row r="50" spans="1:5" ht="14.1">
      <c r="A50" s="121" t="s">
        <v>46</v>
      </c>
      <c r="B50" s="122">
        <f>SUM(B46:B49)</f>
        <v>125431.76356440978</v>
      </c>
      <c r="C50" s="97" t="str">
        <f ca="1">"&lt;--"&amp;_xlfn.FORMULATEXT(B50)</f>
        <v>&lt;--=SUM(B46:B49)</v>
      </c>
    </row>
    <row r="58" spans="1:5" ht="14.1" thickBot="1">
      <c r="A58" s="155" t="s">
        <v>275</v>
      </c>
    </row>
    <row r="59" spans="1:5">
      <c r="A59" s="234" t="s">
        <v>310</v>
      </c>
      <c r="B59" s="230"/>
      <c r="C59" s="230" t="s">
        <v>289</v>
      </c>
      <c r="D59" s="230"/>
      <c r="E59" s="231"/>
    </row>
    <row r="60" spans="1:5" ht="21">
      <c r="A60" s="228" t="s">
        <v>311</v>
      </c>
      <c r="B60" s="229"/>
      <c r="C60" s="183" t="s">
        <v>248</v>
      </c>
      <c r="D60" s="183" t="s">
        <v>249</v>
      </c>
      <c r="E60" s="200" t="s">
        <v>312</v>
      </c>
    </row>
    <row r="61" spans="1:5">
      <c r="A61" s="201" t="s">
        <v>313</v>
      </c>
      <c r="B61" s="184"/>
      <c r="C61" s="185"/>
      <c r="D61" s="185"/>
      <c r="E61" s="202"/>
    </row>
    <row r="62" spans="1:5">
      <c r="A62" s="203" t="s">
        <v>314</v>
      </c>
      <c r="B62" s="186"/>
      <c r="C62" s="187">
        <v>53800</v>
      </c>
      <c r="D62" s="187">
        <v>54722</v>
      </c>
      <c r="E62" s="204">
        <v>45462</v>
      </c>
    </row>
    <row r="63" spans="1:5">
      <c r="A63" s="201" t="s">
        <v>315</v>
      </c>
      <c r="B63" s="184"/>
      <c r="C63" s="188">
        <v>36630</v>
      </c>
      <c r="D63" s="188">
        <v>36997</v>
      </c>
      <c r="E63" s="205">
        <v>31260</v>
      </c>
    </row>
    <row r="64" spans="1:5">
      <c r="A64" s="203" t="s">
        <v>316</v>
      </c>
      <c r="B64" s="186"/>
      <c r="C64" s="189"/>
      <c r="D64" s="189"/>
      <c r="E64" s="206"/>
    </row>
    <row r="65" spans="1:5">
      <c r="A65" s="201" t="s">
        <v>317</v>
      </c>
      <c r="B65" s="184"/>
      <c r="C65" s="188">
        <v>5162</v>
      </c>
      <c r="D65" s="188">
        <v>5478</v>
      </c>
      <c r="E65" s="205">
        <v>4999</v>
      </c>
    </row>
    <row r="66" spans="1:5">
      <c r="A66" s="203" t="s">
        <v>176</v>
      </c>
      <c r="B66" s="186"/>
      <c r="C66" s="190">
        <v>1693</v>
      </c>
      <c r="D66" s="190">
        <v>1850</v>
      </c>
      <c r="E66" s="207">
        <v>1842</v>
      </c>
    </row>
    <row r="67" spans="1:5">
      <c r="A67" s="201" t="s">
        <v>318</v>
      </c>
      <c r="B67" s="184"/>
      <c r="C67" s="191">
        <v>754</v>
      </c>
      <c r="D67" s="191">
        <v>722</v>
      </c>
      <c r="E67" s="208">
        <v>646</v>
      </c>
    </row>
    <row r="68" spans="1:5">
      <c r="A68" s="203" t="s">
        <v>319</v>
      </c>
      <c r="B68" s="186"/>
      <c r="C68" s="192">
        <v>0</v>
      </c>
      <c r="D68" s="192">
        <v>0</v>
      </c>
      <c r="E68" s="209">
        <v>0</v>
      </c>
    </row>
    <row r="69" spans="1:5">
      <c r="A69" s="201" t="s">
        <v>320</v>
      </c>
      <c r="B69" s="184"/>
      <c r="C69" s="188">
        <v>1271</v>
      </c>
      <c r="D69" s="188">
        <v>1382</v>
      </c>
      <c r="E69" s="205">
        <v>2255</v>
      </c>
    </row>
    <row r="70" spans="1:5">
      <c r="A70" s="203" t="s">
        <v>321</v>
      </c>
      <c r="B70" s="186"/>
      <c r="C70" s="190">
        <v>45510</v>
      </c>
      <c r="D70" s="190">
        <v>46429</v>
      </c>
      <c r="E70" s="207">
        <v>41002</v>
      </c>
    </row>
    <row r="71" spans="1:5">
      <c r="A71" s="201" t="s">
        <v>322</v>
      </c>
      <c r="B71" s="184"/>
      <c r="C71" s="188">
        <v>8290</v>
      </c>
      <c r="D71" s="188">
        <v>8293</v>
      </c>
      <c r="E71" s="205">
        <v>4460</v>
      </c>
    </row>
    <row r="72" spans="1:5">
      <c r="A72" s="203" t="s">
        <v>323</v>
      </c>
      <c r="B72" s="186"/>
      <c r="C72" s="192">
        <v>421</v>
      </c>
      <c r="D72" s="192">
        <v>404</v>
      </c>
      <c r="E72" s="209">
        <v>531</v>
      </c>
    </row>
    <row r="73" spans="1:5">
      <c r="A73" s="201" t="s">
        <v>195</v>
      </c>
      <c r="B73" s="184"/>
      <c r="C73" s="193">
        <v>-57</v>
      </c>
      <c r="D73" s="193">
        <v>-67</v>
      </c>
      <c r="E73" s="208">
        <v>153</v>
      </c>
    </row>
    <row r="74" spans="1:5">
      <c r="A74" s="203" t="s">
        <v>324</v>
      </c>
      <c r="B74" s="186"/>
      <c r="C74" s="190">
        <v>7812</v>
      </c>
      <c r="D74" s="190">
        <v>7822</v>
      </c>
      <c r="E74" s="207">
        <v>4082</v>
      </c>
    </row>
    <row r="75" spans="1:5">
      <c r="A75" s="201" t="s">
        <v>196</v>
      </c>
      <c r="B75" s="184"/>
      <c r="C75" s="188">
        <v>1746</v>
      </c>
      <c r="D75" s="188">
        <v>1698</v>
      </c>
      <c r="E75" s="205">
        <v>3339</v>
      </c>
    </row>
    <row r="76" spans="1:5">
      <c r="A76" s="203" t="s">
        <v>325</v>
      </c>
      <c r="B76" s="186"/>
      <c r="C76" s="190">
        <v>6066</v>
      </c>
      <c r="D76" s="190">
        <v>6124</v>
      </c>
      <c r="E76" s="209">
        <v>743</v>
      </c>
    </row>
    <row r="77" spans="1:5" ht="27.6">
      <c r="A77" s="201" t="s">
        <v>326</v>
      </c>
      <c r="B77" s="184"/>
      <c r="C77" s="191">
        <v>28</v>
      </c>
      <c r="D77" s="191">
        <v>24</v>
      </c>
      <c r="E77" s="208">
        <v>16</v>
      </c>
    </row>
    <row r="78" spans="1:5">
      <c r="A78" s="203" t="s">
        <v>327</v>
      </c>
      <c r="B78" s="186"/>
      <c r="C78" s="190">
        <v>6094</v>
      </c>
      <c r="D78" s="190">
        <v>6148</v>
      </c>
      <c r="E78" s="209">
        <v>759</v>
      </c>
    </row>
    <row r="79" spans="1:5" ht="27.6">
      <c r="A79" s="201" t="s">
        <v>328</v>
      </c>
      <c r="B79" s="184"/>
      <c r="C79" s="191">
        <v>1</v>
      </c>
      <c r="D79" s="191">
        <v>1</v>
      </c>
      <c r="E79" s="208">
        <v>5</v>
      </c>
    </row>
    <row r="80" spans="1:5">
      <c r="A80" s="203" t="s">
        <v>329</v>
      </c>
      <c r="B80" s="186" t="s">
        <v>330</v>
      </c>
      <c r="C80" s="187">
        <v>6093</v>
      </c>
      <c r="D80" s="187">
        <v>6147</v>
      </c>
      <c r="E80" s="204">
        <v>754</v>
      </c>
    </row>
    <row r="81" spans="1:13">
      <c r="A81" s="201" t="s">
        <v>331</v>
      </c>
      <c r="B81" s="184"/>
      <c r="C81" s="194">
        <v>10.85</v>
      </c>
      <c r="D81" s="194">
        <v>10.39</v>
      </c>
      <c r="E81" s="210">
        <v>1.27</v>
      </c>
    </row>
    <row r="82" spans="1:13" ht="27.6">
      <c r="A82" s="203" t="s">
        <v>332</v>
      </c>
      <c r="B82" s="186" t="s">
        <v>333</v>
      </c>
      <c r="C82" s="195">
        <v>10.74</v>
      </c>
      <c r="D82" s="195">
        <v>10.26</v>
      </c>
      <c r="E82" s="211">
        <v>1.26</v>
      </c>
    </row>
    <row r="83" spans="1:13" ht="27.6">
      <c r="A83" s="201" t="s">
        <v>334</v>
      </c>
      <c r="B83" s="184"/>
      <c r="C83" s="185"/>
      <c r="D83" s="185"/>
      <c r="E83" s="202"/>
    </row>
    <row r="84" spans="1:13">
      <c r="A84" s="203" t="s">
        <v>298</v>
      </c>
      <c r="B84" s="186"/>
      <c r="C84" s="192">
        <v>561.6</v>
      </c>
      <c r="D84" s="192">
        <v>591.4</v>
      </c>
      <c r="E84" s="209">
        <v>591.79999999999995</v>
      </c>
    </row>
    <row r="85" spans="1:13">
      <c r="A85" s="201" t="s">
        <v>299</v>
      </c>
      <c r="B85" s="184" t="s">
        <v>333</v>
      </c>
      <c r="C85" s="191">
        <v>567.5</v>
      </c>
      <c r="D85" s="191">
        <v>599.4</v>
      </c>
      <c r="E85" s="208">
        <v>599.29999999999995</v>
      </c>
    </row>
    <row r="86" spans="1:13">
      <c r="A86" s="212" t="s">
        <v>259</v>
      </c>
      <c r="B86" s="196"/>
      <c r="C86" s="197"/>
      <c r="D86" s="197"/>
      <c r="E86" s="213"/>
      <c r="F86"/>
      <c r="G86"/>
      <c r="H86"/>
      <c r="I86"/>
      <c r="J86"/>
      <c r="K86"/>
      <c r="L86"/>
      <c r="M86"/>
    </row>
    <row r="87" spans="1:13">
      <c r="A87" s="201" t="s">
        <v>313</v>
      </c>
      <c r="B87" s="184"/>
      <c r="C87" s="185"/>
      <c r="D87" s="185"/>
      <c r="E87" s="202"/>
      <c r="F87"/>
      <c r="G87"/>
      <c r="H87"/>
      <c r="I87"/>
      <c r="J87"/>
      <c r="K87"/>
      <c r="L87"/>
      <c r="M87"/>
    </row>
    <row r="88" spans="1:13">
      <c r="A88" s="203" t="s">
        <v>314</v>
      </c>
      <c r="B88" s="186"/>
      <c r="C88" s="187">
        <v>50755</v>
      </c>
      <c r="D88" s="187">
        <v>51822</v>
      </c>
      <c r="E88" s="204">
        <v>42676</v>
      </c>
      <c r="F88"/>
      <c r="G88"/>
      <c r="H88"/>
      <c r="I88"/>
      <c r="J88"/>
      <c r="K88"/>
      <c r="L88"/>
      <c r="M88"/>
    </row>
    <row r="89" spans="1:13">
      <c r="A89" s="212" t="s">
        <v>260</v>
      </c>
      <c r="B89" s="196"/>
      <c r="C89" s="197"/>
      <c r="D89" s="197"/>
      <c r="E89" s="213"/>
    </row>
    <row r="90" spans="1:13">
      <c r="A90" s="203" t="s">
        <v>313</v>
      </c>
      <c r="B90" s="186"/>
      <c r="C90" s="189"/>
      <c r="D90" s="189"/>
      <c r="E90" s="206"/>
    </row>
    <row r="91" spans="1:13">
      <c r="A91" s="201" t="s">
        <v>314</v>
      </c>
      <c r="B91" s="184"/>
      <c r="C91" s="198">
        <v>3045</v>
      </c>
      <c r="D91" s="198">
        <v>2900</v>
      </c>
      <c r="E91" s="214">
        <v>2786</v>
      </c>
    </row>
    <row r="92" spans="1:13">
      <c r="A92" s="232"/>
      <c r="B92" s="233"/>
      <c r="C92" s="233"/>
      <c r="D92" s="233"/>
      <c r="E92" s="215"/>
    </row>
    <row r="93" spans="1:13" ht="20.399999999999999">
      <c r="A93" s="216" t="s">
        <v>330</v>
      </c>
      <c r="B93" s="199" t="s">
        <v>335</v>
      </c>
      <c r="C93" s="182"/>
      <c r="D93" s="182"/>
      <c r="E93" s="215"/>
    </row>
    <row r="94" spans="1:13" ht="51.3" thickBot="1">
      <c r="A94" s="217" t="s">
        <v>333</v>
      </c>
      <c r="B94" s="218" t="s">
        <v>336</v>
      </c>
      <c r="C94" s="219"/>
      <c r="D94" s="219"/>
      <c r="E94" s="220"/>
    </row>
    <row r="95" spans="1:13">
      <c r="A95" s="111" t="s">
        <v>188</v>
      </c>
      <c r="B95" s="111">
        <v>820</v>
      </c>
    </row>
    <row r="96" spans="1:13">
      <c r="A96" s="110" t="s">
        <v>197</v>
      </c>
      <c r="B96" s="110">
        <v>-253</v>
      </c>
    </row>
    <row r="97" spans="1:2">
      <c r="A97" s="111" t="s">
        <v>168</v>
      </c>
      <c r="B97" s="111">
        <v>132</v>
      </c>
    </row>
    <row r="98" spans="1:2">
      <c r="A98" s="110" t="s">
        <v>194</v>
      </c>
      <c r="B98" s="110">
        <v>57</v>
      </c>
    </row>
    <row r="99" spans="1:2">
      <c r="A99" s="111" t="s">
        <v>169</v>
      </c>
      <c r="B99" s="111"/>
    </row>
    <row r="100" spans="1:2">
      <c r="A100" s="110" t="s">
        <v>198</v>
      </c>
      <c r="B100" s="110">
        <v>70</v>
      </c>
    </row>
    <row r="101" spans="1:2">
      <c r="A101" s="111" t="s">
        <v>199</v>
      </c>
      <c r="B101" s="111">
        <v>26</v>
      </c>
    </row>
    <row r="102" spans="1:2">
      <c r="A102" s="110" t="s">
        <v>143</v>
      </c>
      <c r="B102" s="110">
        <v>-66</v>
      </c>
    </row>
    <row r="103" spans="1:2">
      <c r="A103" s="111" t="s">
        <v>200</v>
      </c>
      <c r="B103" s="111">
        <v>11</v>
      </c>
    </row>
    <row r="104" spans="1:2">
      <c r="A104" s="110" t="s">
        <v>201</v>
      </c>
      <c r="B104" s="110">
        <v>-261</v>
      </c>
    </row>
    <row r="105" spans="1:2">
      <c r="A105" s="111" t="s">
        <v>202</v>
      </c>
      <c r="B105" s="111">
        <v>102</v>
      </c>
    </row>
    <row r="106" spans="1:2">
      <c r="A106" s="110" t="s">
        <v>203</v>
      </c>
      <c r="B106" s="110">
        <v>-9</v>
      </c>
    </row>
    <row r="107" spans="1:2" ht="14.1" thickBot="1">
      <c r="A107" s="111" t="s">
        <v>204</v>
      </c>
      <c r="B107" s="111" t="s">
        <v>205</v>
      </c>
    </row>
    <row r="108" spans="1:2" ht="14.1" thickBot="1">
      <c r="A108" s="110" t="s">
        <v>94</v>
      </c>
      <c r="B108" s="118">
        <v>1223</v>
      </c>
    </row>
    <row r="109" spans="1:2">
      <c r="A109" s="114" t="s">
        <v>206</v>
      </c>
      <c r="B109" s="112"/>
    </row>
    <row r="110" spans="1:2" ht="22.8">
      <c r="A110" s="105" t="s">
        <v>207</v>
      </c>
      <c r="B110" s="115">
        <v>-1373</v>
      </c>
    </row>
    <row r="111" spans="1:2">
      <c r="A111" s="111" t="s">
        <v>208</v>
      </c>
      <c r="B111" s="117">
        <v>1003</v>
      </c>
    </row>
    <row r="112" spans="1:2">
      <c r="A112" s="105" t="s">
        <v>209</v>
      </c>
      <c r="B112" s="115">
        <v>-13920</v>
      </c>
    </row>
    <row r="113" spans="1:2">
      <c r="A113" s="111" t="s">
        <v>210</v>
      </c>
      <c r="B113" s="117">
        <v>14353</v>
      </c>
    </row>
    <row r="114" spans="1:2">
      <c r="A114" s="110" t="s">
        <v>211</v>
      </c>
      <c r="B114" s="110">
        <v>-732</v>
      </c>
    </row>
    <row r="115" spans="1:2">
      <c r="A115" s="111" t="s">
        <v>212</v>
      </c>
      <c r="B115" s="111">
        <v>127</v>
      </c>
    </row>
    <row r="116" spans="1:2">
      <c r="A116" s="110" t="s">
        <v>213</v>
      </c>
      <c r="B116" s="110">
        <v>-51</v>
      </c>
    </row>
    <row r="117" spans="1:2">
      <c r="A117" s="106" t="s">
        <v>214</v>
      </c>
      <c r="B117" s="111">
        <v>-53</v>
      </c>
    </row>
    <row r="118" spans="1:2">
      <c r="A118" s="110" t="s">
        <v>215</v>
      </c>
      <c r="B118" s="110">
        <v>75</v>
      </c>
    </row>
    <row r="119" spans="1:2">
      <c r="A119" s="111" t="s">
        <v>216</v>
      </c>
      <c r="B119" s="111">
        <v>5</v>
      </c>
    </row>
    <row r="120" spans="1:2">
      <c r="A120" s="110" t="s">
        <v>217</v>
      </c>
      <c r="B120" s="110">
        <v>45</v>
      </c>
    </row>
    <row r="121" spans="1:2" ht="14.1" thickBot="1">
      <c r="A121" s="111" t="s">
        <v>194</v>
      </c>
      <c r="B121" s="111">
        <v>-6</v>
      </c>
    </row>
    <row r="122" spans="1:2" ht="14.1" thickBot="1">
      <c r="A122" s="110" t="s">
        <v>218</v>
      </c>
      <c r="B122" s="116">
        <v>-527</v>
      </c>
    </row>
    <row r="123" spans="1:2">
      <c r="A123" s="114" t="s">
        <v>219</v>
      </c>
      <c r="B123" s="112"/>
    </row>
    <row r="124" spans="1:2">
      <c r="A124" s="110" t="s">
        <v>220</v>
      </c>
      <c r="B124" s="110">
        <v>40</v>
      </c>
    </row>
    <row r="125" spans="1:2">
      <c r="A125" s="111" t="s">
        <v>221</v>
      </c>
      <c r="B125" s="111" t="s">
        <v>205</v>
      </c>
    </row>
    <row r="126" spans="1:2">
      <c r="A126" s="110" t="s">
        <v>222</v>
      </c>
      <c r="B126" s="110">
        <v>-49</v>
      </c>
    </row>
    <row r="127" spans="1:2" ht="14.25" customHeight="1">
      <c r="A127" s="111" t="s">
        <v>223</v>
      </c>
      <c r="B127" s="117">
        <v>8702</v>
      </c>
    </row>
    <row r="128" spans="1:2" ht="22.8">
      <c r="A128" s="105" t="s">
        <v>224</v>
      </c>
      <c r="B128" s="115">
        <v>-6919</v>
      </c>
    </row>
    <row r="129" spans="1:2" ht="14.25" customHeight="1">
      <c r="A129" s="111" t="s">
        <v>225</v>
      </c>
      <c r="B129" s="117">
        <v>-2854</v>
      </c>
    </row>
    <row r="130" spans="1:2" ht="14.1" thickBot="1">
      <c r="A130" s="105" t="s">
        <v>226</v>
      </c>
      <c r="B130" s="113">
        <v>-725</v>
      </c>
    </row>
    <row r="131" spans="1:2" ht="14.1" thickBot="1">
      <c r="A131" s="106" t="s">
        <v>171</v>
      </c>
      <c r="B131" s="119">
        <v>-1805</v>
      </c>
    </row>
    <row r="132" spans="1:2" ht="14.25" customHeight="1" thickBot="1">
      <c r="A132" s="110" t="s">
        <v>227</v>
      </c>
      <c r="B132" s="116">
        <v>22</v>
      </c>
    </row>
    <row r="133" spans="1:2">
      <c r="A133" s="114" t="s">
        <v>228</v>
      </c>
      <c r="B133" s="120">
        <v>-1087</v>
      </c>
    </row>
    <row r="134" spans="1:2" ht="14.1" thickBot="1">
      <c r="A134" s="110" t="s">
        <v>229</v>
      </c>
      <c r="B134" s="115">
        <v>1795</v>
      </c>
    </row>
    <row r="135" spans="1:2">
      <c r="A135" s="111" t="s">
        <v>230</v>
      </c>
      <c r="B135" s="112">
        <v>708</v>
      </c>
    </row>
    <row r="136" spans="1:2">
      <c r="A136" s="111" t="s">
        <v>231</v>
      </c>
      <c r="B136" s="111">
        <v>647</v>
      </c>
    </row>
    <row r="137" spans="1:2">
      <c r="A137" s="110" t="s">
        <v>232</v>
      </c>
      <c r="B137" s="110">
        <v>159</v>
      </c>
    </row>
    <row r="138" spans="1:2" ht="14.25" customHeight="1">
      <c r="A138" s="108" t="s">
        <v>233</v>
      </c>
      <c r="B138" s="108"/>
    </row>
    <row r="139" spans="1:2" ht="21" customHeight="1" thickBot="1">
      <c r="A139" s="109" t="s">
        <v>234</v>
      </c>
      <c r="B139" s="109"/>
    </row>
    <row r="140" spans="1:2">
      <c r="A140" s="107" t="s">
        <v>235</v>
      </c>
      <c r="B140"/>
    </row>
  </sheetData>
  <mergeCells count="8">
    <mergeCell ref="A60:B60"/>
    <mergeCell ref="C59:E59"/>
    <mergeCell ref="A92:D92"/>
    <mergeCell ref="A31:D31"/>
    <mergeCell ref="A1:F1"/>
    <mergeCell ref="A14:F14"/>
    <mergeCell ref="A23:F23"/>
    <mergeCell ref="A59:B59"/>
  </mergeCells>
  <hyperlinks>
    <hyperlink ref="A61" r:id="rId1" display="javascript:void(0);" xr:uid="{0754A3A4-5E1B-4165-B8E7-414A077B319F}"/>
    <hyperlink ref="A62" r:id="rId2" display="javascript:void(0);" xr:uid="{6BEF612F-1EEA-499B-9ED9-89119B5D5707}"/>
    <hyperlink ref="A63" r:id="rId3" display="javascript:void(0);" xr:uid="{90CB6AAE-2101-4491-BEC5-7C2D4E42DC27}"/>
    <hyperlink ref="A64" r:id="rId4" display="javascript:void(0);" xr:uid="{CBD7E58E-39D9-4CC5-8BA3-4F6EA5D012D7}"/>
    <hyperlink ref="A65" r:id="rId5" display="javascript:void(0);" xr:uid="{2C4E3997-07BD-4F16-BD04-55FEEB3D602E}"/>
    <hyperlink ref="A66" r:id="rId6" display="javascript:void(0);" xr:uid="{EC2F6B4C-B468-443F-83A1-B7EDEE83D038}"/>
    <hyperlink ref="A67" r:id="rId7" display="javascript:void(0);" xr:uid="{AC2AD7FD-91F6-49F5-B336-06D96850EB5B}"/>
    <hyperlink ref="A68" r:id="rId8" display="javascript:void(0);" xr:uid="{B4B8F733-6C4A-40A8-A92C-61825B5B8C4B}"/>
    <hyperlink ref="A69" r:id="rId9" display="javascript:void(0);" xr:uid="{04C4E3CF-A364-4B38-98ED-F67D98A9D0A6}"/>
    <hyperlink ref="A70" r:id="rId10" display="javascript:void(0);" xr:uid="{36DE1F33-F6AA-445F-AF1F-FE19117F70A7}"/>
    <hyperlink ref="A71" r:id="rId11" display="javascript:void(0);" xr:uid="{B0FDD461-CF6B-48D9-811A-591572B11856}"/>
    <hyperlink ref="A72" r:id="rId12" display="javascript:void(0);" xr:uid="{221BEF67-28C3-4CA0-ACA3-738B20955109}"/>
    <hyperlink ref="A73" r:id="rId13" display="javascript:void(0);" xr:uid="{E399BB46-8824-4752-A785-D5D08700C476}"/>
    <hyperlink ref="A74" r:id="rId14" display="javascript:void(0);" xr:uid="{C12E1651-220B-4283-A613-8B7CB939D317}"/>
    <hyperlink ref="A75" r:id="rId15" display="javascript:void(0);" xr:uid="{8A924D7F-81CD-40A2-A936-3F5F874E468E}"/>
    <hyperlink ref="A76" r:id="rId16" display="javascript:void(0);" xr:uid="{D308F838-06E4-4602-B4D1-322AAE64A108}"/>
    <hyperlink ref="A77" r:id="rId17" display="javascript:void(0);" xr:uid="{E1479F37-3D24-49EC-9285-DF7EB43D63B0}"/>
    <hyperlink ref="A78" r:id="rId18" display="javascript:void(0);" xr:uid="{4A36A1BD-7650-4EB5-8CE7-24BF1A0178DD}"/>
    <hyperlink ref="A79" r:id="rId19" display="javascript:void(0);" xr:uid="{B9AE63BC-AC03-487C-B1DD-731A123BBA5C}"/>
    <hyperlink ref="A80" r:id="rId20" display="javascript:void(0);" xr:uid="{4FCFFD9B-9F4F-401D-8EC2-BF50AD2EA305}"/>
    <hyperlink ref="A81" r:id="rId21" display="javascript:void(0);" xr:uid="{A54A2D3F-79A6-4A6F-BC9A-EB53380911FD}"/>
    <hyperlink ref="A82" r:id="rId22" display="javascript:void(0);" xr:uid="{83ED249A-3CBA-4EB5-8A14-52EA01744812}"/>
    <hyperlink ref="A83" r:id="rId23" display="javascript:void(0);" xr:uid="{CD971302-6D80-4AEA-81B6-0AA9D369EC26}"/>
    <hyperlink ref="A84" r:id="rId24" display="javascript:void(0);" xr:uid="{53C22ACA-DCA1-46D5-9EF4-32FD606EA58A}"/>
    <hyperlink ref="A85" r:id="rId25" display="javascript:void(0);" xr:uid="{D710B95A-D095-402A-9433-CC04F9B368F2}"/>
    <hyperlink ref="A86" r:id="rId26" display="javascript:void(0);" xr:uid="{ABAF3C33-8D7C-4669-A098-26A6A782229B}"/>
    <hyperlink ref="A87" r:id="rId27" display="javascript:void(0);" xr:uid="{83A49760-F159-4244-BA72-AD6A7C4B02E5}"/>
    <hyperlink ref="A88" r:id="rId28" display="javascript:void(0);" xr:uid="{0FE32930-ACD0-4E5D-8D20-08EC48E0F626}"/>
    <hyperlink ref="A89" r:id="rId29" display="javascript:void(0);" xr:uid="{CBF0926F-2CA5-48EF-B666-F7EDBAD2EC1D}"/>
    <hyperlink ref="A90" r:id="rId30" display="javascript:void(0);" xr:uid="{059E5B30-03AB-4F9A-BDB6-E83D8EB49DD0}"/>
    <hyperlink ref="A91" r:id="rId31" display="javascript:void(0);" xr:uid="{CDED5113-C932-4D23-BFF4-7B12860DF99F}"/>
    <hyperlink ref="A58" r:id="rId32" display="https://www.sec.gov/cgi-bin/viewer?action=view&amp;cik=18230&amp;accession_number=0000018230-20-000056&amp;xbrl_type=v" xr:uid="{572791A3-5964-420C-89CE-D4CF6575C73B}"/>
  </hyperlink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33"/>
  <drawing r:id="rId3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/>
  <dimension ref="A1:G35"/>
  <sheetViews>
    <sheetView zoomScale="110" zoomScaleNormal="110" workbookViewId="0">
      <selection activeCell="C5" sqref="C5"/>
    </sheetView>
  </sheetViews>
  <sheetFormatPr defaultRowHeight="12.3"/>
  <cols>
    <col min="1" max="1" width="38.28515625" style="35" customWidth="1"/>
    <col min="2" max="4" width="11.7109375" style="28" customWidth="1"/>
    <col min="5" max="6" width="9.80859375" style="28" bestFit="1" customWidth="1"/>
    <col min="7" max="7" width="16" style="28" bestFit="1" customWidth="1"/>
    <col min="8" max="256" width="8.80859375" style="28"/>
    <col min="257" max="257" width="58.80859375" style="28" customWidth="1"/>
    <col min="258" max="260" width="11.7109375" style="28" customWidth="1"/>
    <col min="261" max="262" width="9.80859375" style="28" bestFit="1" customWidth="1"/>
    <col min="263" max="263" width="13.5703125" style="28" bestFit="1" customWidth="1"/>
    <col min="264" max="512" width="8.80859375" style="28"/>
    <col min="513" max="513" width="58.80859375" style="28" customWidth="1"/>
    <col min="514" max="516" width="11.7109375" style="28" customWidth="1"/>
    <col min="517" max="518" width="9.80859375" style="28" bestFit="1" customWidth="1"/>
    <col min="519" max="519" width="13.5703125" style="28" bestFit="1" customWidth="1"/>
    <col min="520" max="768" width="8.80859375" style="28"/>
    <col min="769" max="769" width="58.80859375" style="28" customWidth="1"/>
    <col min="770" max="772" width="11.7109375" style="28" customWidth="1"/>
    <col min="773" max="774" width="9.80859375" style="28" bestFit="1" customWidth="1"/>
    <col min="775" max="775" width="13.5703125" style="28" bestFit="1" customWidth="1"/>
    <col min="776" max="1024" width="8.80859375" style="28"/>
    <col min="1025" max="1025" width="58.80859375" style="28" customWidth="1"/>
    <col min="1026" max="1028" width="11.7109375" style="28" customWidth="1"/>
    <col min="1029" max="1030" width="9.80859375" style="28" bestFit="1" customWidth="1"/>
    <col min="1031" max="1031" width="13.5703125" style="28" bestFit="1" customWidth="1"/>
    <col min="1032" max="1280" width="8.80859375" style="28"/>
    <col min="1281" max="1281" width="58.80859375" style="28" customWidth="1"/>
    <col min="1282" max="1284" width="11.7109375" style="28" customWidth="1"/>
    <col min="1285" max="1286" width="9.80859375" style="28" bestFit="1" customWidth="1"/>
    <col min="1287" max="1287" width="13.5703125" style="28" bestFit="1" customWidth="1"/>
    <col min="1288" max="1536" width="8.80859375" style="28"/>
    <col min="1537" max="1537" width="58.80859375" style="28" customWidth="1"/>
    <col min="1538" max="1540" width="11.7109375" style="28" customWidth="1"/>
    <col min="1541" max="1542" width="9.80859375" style="28" bestFit="1" customWidth="1"/>
    <col min="1543" max="1543" width="13.5703125" style="28" bestFit="1" customWidth="1"/>
    <col min="1544" max="1792" width="8.80859375" style="28"/>
    <col min="1793" max="1793" width="58.80859375" style="28" customWidth="1"/>
    <col min="1794" max="1796" width="11.7109375" style="28" customWidth="1"/>
    <col min="1797" max="1798" width="9.80859375" style="28" bestFit="1" customWidth="1"/>
    <col min="1799" max="1799" width="13.5703125" style="28" bestFit="1" customWidth="1"/>
    <col min="1800" max="2048" width="8.80859375" style="28"/>
    <col min="2049" max="2049" width="58.80859375" style="28" customWidth="1"/>
    <col min="2050" max="2052" width="11.7109375" style="28" customWidth="1"/>
    <col min="2053" max="2054" width="9.80859375" style="28" bestFit="1" customWidth="1"/>
    <col min="2055" max="2055" width="13.5703125" style="28" bestFit="1" customWidth="1"/>
    <col min="2056" max="2304" width="8.80859375" style="28"/>
    <col min="2305" max="2305" width="58.80859375" style="28" customWidth="1"/>
    <col min="2306" max="2308" width="11.7109375" style="28" customWidth="1"/>
    <col min="2309" max="2310" width="9.80859375" style="28" bestFit="1" customWidth="1"/>
    <col min="2311" max="2311" width="13.5703125" style="28" bestFit="1" customWidth="1"/>
    <col min="2312" max="2560" width="8.80859375" style="28"/>
    <col min="2561" max="2561" width="58.80859375" style="28" customWidth="1"/>
    <col min="2562" max="2564" width="11.7109375" style="28" customWidth="1"/>
    <col min="2565" max="2566" width="9.80859375" style="28" bestFit="1" customWidth="1"/>
    <col min="2567" max="2567" width="13.5703125" style="28" bestFit="1" customWidth="1"/>
    <col min="2568" max="2816" width="8.80859375" style="28"/>
    <col min="2817" max="2817" width="58.80859375" style="28" customWidth="1"/>
    <col min="2818" max="2820" width="11.7109375" style="28" customWidth="1"/>
    <col min="2821" max="2822" width="9.80859375" style="28" bestFit="1" customWidth="1"/>
    <col min="2823" max="2823" width="13.5703125" style="28" bestFit="1" customWidth="1"/>
    <col min="2824" max="3072" width="8.80859375" style="28"/>
    <col min="3073" max="3073" width="58.80859375" style="28" customWidth="1"/>
    <col min="3074" max="3076" width="11.7109375" style="28" customWidth="1"/>
    <col min="3077" max="3078" width="9.80859375" style="28" bestFit="1" customWidth="1"/>
    <col min="3079" max="3079" width="13.5703125" style="28" bestFit="1" customWidth="1"/>
    <col min="3080" max="3328" width="8.80859375" style="28"/>
    <col min="3329" max="3329" width="58.80859375" style="28" customWidth="1"/>
    <col min="3330" max="3332" width="11.7109375" style="28" customWidth="1"/>
    <col min="3333" max="3334" width="9.80859375" style="28" bestFit="1" customWidth="1"/>
    <col min="3335" max="3335" width="13.5703125" style="28" bestFit="1" customWidth="1"/>
    <col min="3336" max="3584" width="8.80859375" style="28"/>
    <col min="3585" max="3585" width="58.80859375" style="28" customWidth="1"/>
    <col min="3586" max="3588" width="11.7109375" style="28" customWidth="1"/>
    <col min="3589" max="3590" width="9.80859375" style="28" bestFit="1" customWidth="1"/>
    <col min="3591" max="3591" width="13.5703125" style="28" bestFit="1" customWidth="1"/>
    <col min="3592" max="3840" width="8.80859375" style="28"/>
    <col min="3841" max="3841" width="58.80859375" style="28" customWidth="1"/>
    <col min="3842" max="3844" width="11.7109375" style="28" customWidth="1"/>
    <col min="3845" max="3846" width="9.80859375" style="28" bestFit="1" customWidth="1"/>
    <col min="3847" max="3847" width="13.5703125" style="28" bestFit="1" customWidth="1"/>
    <col min="3848" max="4096" width="8.80859375" style="28"/>
    <col min="4097" max="4097" width="58.80859375" style="28" customWidth="1"/>
    <col min="4098" max="4100" width="11.7109375" style="28" customWidth="1"/>
    <col min="4101" max="4102" width="9.80859375" style="28" bestFit="1" customWidth="1"/>
    <col min="4103" max="4103" width="13.5703125" style="28" bestFit="1" customWidth="1"/>
    <col min="4104" max="4352" width="8.80859375" style="28"/>
    <col min="4353" max="4353" width="58.80859375" style="28" customWidth="1"/>
    <col min="4354" max="4356" width="11.7109375" style="28" customWidth="1"/>
    <col min="4357" max="4358" width="9.80859375" style="28" bestFit="1" customWidth="1"/>
    <col min="4359" max="4359" width="13.5703125" style="28" bestFit="1" customWidth="1"/>
    <col min="4360" max="4608" width="8.80859375" style="28"/>
    <col min="4609" max="4609" width="58.80859375" style="28" customWidth="1"/>
    <col min="4610" max="4612" width="11.7109375" style="28" customWidth="1"/>
    <col min="4613" max="4614" width="9.80859375" style="28" bestFit="1" customWidth="1"/>
    <col min="4615" max="4615" width="13.5703125" style="28" bestFit="1" customWidth="1"/>
    <col min="4616" max="4864" width="8.80859375" style="28"/>
    <col min="4865" max="4865" width="58.80859375" style="28" customWidth="1"/>
    <col min="4866" max="4868" width="11.7109375" style="28" customWidth="1"/>
    <col min="4869" max="4870" width="9.80859375" style="28" bestFit="1" customWidth="1"/>
    <col min="4871" max="4871" width="13.5703125" style="28" bestFit="1" customWidth="1"/>
    <col min="4872" max="5120" width="8.80859375" style="28"/>
    <col min="5121" max="5121" width="58.80859375" style="28" customWidth="1"/>
    <col min="5122" max="5124" width="11.7109375" style="28" customWidth="1"/>
    <col min="5125" max="5126" width="9.80859375" style="28" bestFit="1" customWidth="1"/>
    <col min="5127" max="5127" width="13.5703125" style="28" bestFit="1" customWidth="1"/>
    <col min="5128" max="5376" width="8.80859375" style="28"/>
    <col min="5377" max="5377" width="58.80859375" style="28" customWidth="1"/>
    <col min="5378" max="5380" width="11.7109375" style="28" customWidth="1"/>
    <col min="5381" max="5382" width="9.80859375" style="28" bestFit="1" customWidth="1"/>
    <col min="5383" max="5383" width="13.5703125" style="28" bestFit="1" customWidth="1"/>
    <col min="5384" max="5632" width="8.80859375" style="28"/>
    <col min="5633" max="5633" width="58.80859375" style="28" customWidth="1"/>
    <col min="5634" max="5636" width="11.7109375" style="28" customWidth="1"/>
    <col min="5637" max="5638" width="9.80859375" style="28" bestFit="1" customWidth="1"/>
    <col min="5639" max="5639" width="13.5703125" style="28" bestFit="1" customWidth="1"/>
    <col min="5640" max="5888" width="8.80859375" style="28"/>
    <col min="5889" max="5889" width="58.80859375" style="28" customWidth="1"/>
    <col min="5890" max="5892" width="11.7109375" style="28" customWidth="1"/>
    <col min="5893" max="5894" width="9.80859375" style="28" bestFit="1" customWidth="1"/>
    <col min="5895" max="5895" width="13.5703125" style="28" bestFit="1" customWidth="1"/>
    <col min="5896" max="6144" width="8.80859375" style="28"/>
    <col min="6145" max="6145" width="58.80859375" style="28" customWidth="1"/>
    <col min="6146" max="6148" width="11.7109375" style="28" customWidth="1"/>
    <col min="6149" max="6150" width="9.80859375" style="28" bestFit="1" customWidth="1"/>
    <col min="6151" max="6151" width="13.5703125" style="28" bestFit="1" customWidth="1"/>
    <col min="6152" max="6400" width="8.80859375" style="28"/>
    <col min="6401" max="6401" width="58.80859375" style="28" customWidth="1"/>
    <col min="6402" max="6404" width="11.7109375" style="28" customWidth="1"/>
    <col min="6405" max="6406" width="9.80859375" style="28" bestFit="1" customWidth="1"/>
    <col min="6407" max="6407" width="13.5703125" style="28" bestFit="1" customWidth="1"/>
    <col min="6408" max="6656" width="8.80859375" style="28"/>
    <col min="6657" max="6657" width="58.80859375" style="28" customWidth="1"/>
    <col min="6658" max="6660" width="11.7109375" style="28" customWidth="1"/>
    <col min="6661" max="6662" width="9.80859375" style="28" bestFit="1" customWidth="1"/>
    <col min="6663" max="6663" width="13.5703125" style="28" bestFit="1" customWidth="1"/>
    <col min="6664" max="6912" width="8.80859375" style="28"/>
    <col min="6913" max="6913" width="58.80859375" style="28" customWidth="1"/>
    <col min="6914" max="6916" width="11.7109375" style="28" customWidth="1"/>
    <col min="6917" max="6918" width="9.80859375" style="28" bestFit="1" customWidth="1"/>
    <col min="6919" max="6919" width="13.5703125" style="28" bestFit="1" customWidth="1"/>
    <col min="6920" max="7168" width="8.80859375" style="28"/>
    <col min="7169" max="7169" width="58.80859375" style="28" customWidth="1"/>
    <col min="7170" max="7172" width="11.7109375" style="28" customWidth="1"/>
    <col min="7173" max="7174" width="9.80859375" style="28" bestFit="1" customWidth="1"/>
    <col min="7175" max="7175" width="13.5703125" style="28" bestFit="1" customWidth="1"/>
    <col min="7176" max="7424" width="8.80859375" style="28"/>
    <col min="7425" max="7425" width="58.80859375" style="28" customWidth="1"/>
    <col min="7426" max="7428" width="11.7109375" style="28" customWidth="1"/>
    <col min="7429" max="7430" width="9.80859375" style="28" bestFit="1" customWidth="1"/>
    <col min="7431" max="7431" width="13.5703125" style="28" bestFit="1" customWidth="1"/>
    <col min="7432" max="7680" width="8.80859375" style="28"/>
    <col min="7681" max="7681" width="58.80859375" style="28" customWidth="1"/>
    <col min="7682" max="7684" width="11.7109375" style="28" customWidth="1"/>
    <col min="7685" max="7686" width="9.80859375" style="28" bestFit="1" customWidth="1"/>
    <col min="7687" max="7687" width="13.5703125" style="28" bestFit="1" customWidth="1"/>
    <col min="7688" max="7936" width="8.80859375" style="28"/>
    <col min="7937" max="7937" width="58.80859375" style="28" customWidth="1"/>
    <col min="7938" max="7940" width="11.7109375" style="28" customWidth="1"/>
    <col min="7941" max="7942" width="9.80859375" style="28" bestFit="1" customWidth="1"/>
    <col min="7943" max="7943" width="13.5703125" style="28" bestFit="1" customWidth="1"/>
    <col min="7944" max="8192" width="8.80859375" style="28"/>
    <col min="8193" max="8193" width="58.80859375" style="28" customWidth="1"/>
    <col min="8194" max="8196" width="11.7109375" style="28" customWidth="1"/>
    <col min="8197" max="8198" width="9.80859375" style="28" bestFit="1" customWidth="1"/>
    <col min="8199" max="8199" width="13.5703125" style="28" bestFit="1" customWidth="1"/>
    <col min="8200" max="8448" width="8.80859375" style="28"/>
    <col min="8449" max="8449" width="58.80859375" style="28" customWidth="1"/>
    <col min="8450" max="8452" width="11.7109375" style="28" customWidth="1"/>
    <col min="8453" max="8454" width="9.80859375" style="28" bestFit="1" customWidth="1"/>
    <col min="8455" max="8455" width="13.5703125" style="28" bestFit="1" customWidth="1"/>
    <col min="8456" max="8704" width="8.80859375" style="28"/>
    <col min="8705" max="8705" width="58.80859375" style="28" customWidth="1"/>
    <col min="8706" max="8708" width="11.7109375" style="28" customWidth="1"/>
    <col min="8709" max="8710" width="9.80859375" style="28" bestFit="1" customWidth="1"/>
    <col min="8711" max="8711" width="13.5703125" style="28" bestFit="1" customWidth="1"/>
    <col min="8712" max="8960" width="8.80859375" style="28"/>
    <col min="8961" max="8961" width="58.80859375" style="28" customWidth="1"/>
    <col min="8962" max="8964" width="11.7109375" style="28" customWidth="1"/>
    <col min="8965" max="8966" width="9.80859375" style="28" bestFit="1" customWidth="1"/>
    <col min="8967" max="8967" width="13.5703125" style="28" bestFit="1" customWidth="1"/>
    <col min="8968" max="9216" width="8.80859375" style="28"/>
    <col min="9217" max="9217" width="58.80859375" style="28" customWidth="1"/>
    <col min="9218" max="9220" width="11.7109375" style="28" customWidth="1"/>
    <col min="9221" max="9222" width="9.80859375" style="28" bestFit="1" customWidth="1"/>
    <col min="9223" max="9223" width="13.5703125" style="28" bestFit="1" customWidth="1"/>
    <col min="9224" max="9472" width="8.80859375" style="28"/>
    <col min="9473" max="9473" width="58.80859375" style="28" customWidth="1"/>
    <col min="9474" max="9476" width="11.7109375" style="28" customWidth="1"/>
    <col min="9477" max="9478" width="9.80859375" style="28" bestFit="1" customWidth="1"/>
    <col min="9479" max="9479" width="13.5703125" style="28" bestFit="1" customWidth="1"/>
    <col min="9480" max="9728" width="8.80859375" style="28"/>
    <col min="9729" max="9729" width="58.80859375" style="28" customWidth="1"/>
    <col min="9730" max="9732" width="11.7109375" style="28" customWidth="1"/>
    <col min="9733" max="9734" width="9.80859375" style="28" bestFit="1" customWidth="1"/>
    <col min="9735" max="9735" width="13.5703125" style="28" bestFit="1" customWidth="1"/>
    <col min="9736" max="9984" width="8.80859375" style="28"/>
    <col min="9985" max="9985" width="58.80859375" style="28" customWidth="1"/>
    <col min="9986" max="9988" width="11.7109375" style="28" customWidth="1"/>
    <col min="9989" max="9990" width="9.80859375" style="28" bestFit="1" customWidth="1"/>
    <col min="9991" max="9991" width="13.5703125" style="28" bestFit="1" customWidth="1"/>
    <col min="9992" max="10240" width="8.80859375" style="28"/>
    <col min="10241" max="10241" width="58.80859375" style="28" customWidth="1"/>
    <col min="10242" max="10244" width="11.7109375" style="28" customWidth="1"/>
    <col min="10245" max="10246" width="9.80859375" style="28" bestFit="1" customWidth="1"/>
    <col min="10247" max="10247" width="13.5703125" style="28" bestFit="1" customWidth="1"/>
    <col min="10248" max="10496" width="8.80859375" style="28"/>
    <col min="10497" max="10497" width="58.80859375" style="28" customWidth="1"/>
    <col min="10498" max="10500" width="11.7109375" style="28" customWidth="1"/>
    <col min="10501" max="10502" width="9.80859375" style="28" bestFit="1" customWidth="1"/>
    <col min="10503" max="10503" width="13.5703125" style="28" bestFit="1" customWidth="1"/>
    <col min="10504" max="10752" width="8.80859375" style="28"/>
    <col min="10753" max="10753" width="58.80859375" style="28" customWidth="1"/>
    <col min="10754" max="10756" width="11.7109375" style="28" customWidth="1"/>
    <col min="10757" max="10758" width="9.80859375" style="28" bestFit="1" customWidth="1"/>
    <col min="10759" max="10759" width="13.5703125" style="28" bestFit="1" customWidth="1"/>
    <col min="10760" max="11008" width="8.80859375" style="28"/>
    <col min="11009" max="11009" width="58.80859375" style="28" customWidth="1"/>
    <col min="11010" max="11012" width="11.7109375" style="28" customWidth="1"/>
    <col min="11013" max="11014" width="9.80859375" style="28" bestFit="1" customWidth="1"/>
    <col min="11015" max="11015" width="13.5703125" style="28" bestFit="1" customWidth="1"/>
    <col min="11016" max="11264" width="8.80859375" style="28"/>
    <col min="11265" max="11265" width="58.80859375" style="28" customWidth="1"/>
    <col min="11266" max="11268" width="11.7109375" style="28" customWidth="1"/>
    <col min="11269" max="11270" width="9.80859375" style="28" bestFit="1" customWidth="1"/>
    <col min="11271" max="11271" width="13.5703125" style="28" bestFit="1" customWidth="1"/>
    <col min="11272" max="11520" width="8.80859375" style="28"/>
    <col min="11521" max="11521" width="58.80859375" style="28" customWidth="1"/>
    <col min="11522" max="11524" width="11.7109375" style="28" customWidth="1"/>
    <col min="11525" max="11526" width="9.80859375" style="28" bestFit="1" customWidth="1"/>
    <col min="11527" max="11527" width="13.5703125" style="28" bestFit="1" customWidth="1"/>
    <col min="11528" max="11776" width="8.80859375" style="28"/>
    <col min="11777" max="11777" width="58.80859375" style="28" customWidth="1"/>
    <col min="11778" max="11780" width="11.7109375" style="28" customWidth="1"/>
    <col min="11781" max="11782" width="9.80859375" style="28" bestFit="1" customWidth="1"/>
    <col min="11783" max="11783" width="13.5703125" style="28" bestFit="1" customWidth="1"/>
    <col min="11784" max="12032" width="8.80859375" style="28"/>
    <col min="12033" max="12033" width="58.80859375" style="28" customWidth="1"/>
    <col min="12034" max="12036" width="11.7109375" style="28" customWidth="1"/>
    <col min="12037" max="12038" width="9.80859375" style="28" bestFit="1" customWidth="1"/>
    <col min="12039" max="12039" width="13.5703125" style="28" bestFit="1" customWidth="1"/>
    <col min="12040" max="12288" width="8.80859375" style="28"/>
    <col min="12289" max="12289" width="58.80859375" style="28" customWidth="1"/>
    <col min="12290" max="12292" width="11.7109375" style="28" customWidth="1"/>
    <col min="12293" max="12294" width="9.80859375" style="28" bestFit="1" customWidth="1"/>
    <col min="12295" max="12295" width="13.5703125" style="28" bestFit="1" customWidth="1"/>
    <col min="12296" max="12544" width="8.80859375" style="28"/>
    <col min="12545" max="12545" width="58.80859375" style="28" customWidth="1"/>
    <col min="12546" max="12548" width="11.7109375" style="28" customWidth="1"/>
    <col min="12549" max="12550" width="9.80859375" style="28" bestFit="1" customWidth="1"/>
    <col min="12551" max="12551" width="13.5703125" style="28" bestFit="1" customWidth="1"/>
    <col min="12552" max="12800" width="8.80859375" style="28"/>
    <col min="12801" max="12801" width="58.80859375" style="28" customWidth="1"/>
    <col min="12802" max="12804" width="11.7109375" style="28" customWidth="1"/>
    <col min="12805" max="12806" width="9.80859375" style="28" bestFit="1" customWidth="1"/>
    <col min="12807" max="12807" width="13.5703125" style="28" bestFit="1" customWidth="1"/>
    <col min="12808" max="13056" width="8.80859375" style="28"/>
    <col min="13057" max="13057" width="58.80859375" style="28" customWidth="1"/>
    <col min="13058" max="13060" width="11.7109375" style="28" customWidth="1"/>
    <col min="13061" max="13062" width="9.80859375" style="28" bestFit="1" customWidth="1"/>
    <col min="13063" max="13063" width="13.5703125" style="28" bestFit="1" customWidth="1"/>
    <col min="13064" max="13312" width="8.80859375" style="28"/>
    <col min="13313" max="13313" width="58.80859375" style="28" customWidth="1"/>
    <col min="13314" max="13316" width="11.7109375" style="28" customWidth="1"/>
    <col min="13317" max="13318" width="9.80859375" style="28" bestFit="1" customWidth="1"/>
    <col min="13319" max="13319" width="13.5703125" style="28" bestFit="1" customWidth="1"/>
    <col min="13320" max="13568" width="8.80859375" style="28"/>
    <col min="13569" max="13569" width="58.80859375" style="28" customWidth="1"/>
    <col min="13570" max="13572" width="11.7109375" style="28" customWidth="1"/>
    <col min="13573" max="13574" width="9.80859375" style="28" bestFit="1" customWidth="1"/>
    <col min="13575" max="13575" width="13.5703125" style="28" bestFit="1" customWidth="1"/>
    <col min="13576" max="13824" width="8.80859375" style="28"/>
    <col min="13825" max="13825" width="58.80859375" style="28" customWidth="1"/>
    <col min="13826" max="13828" width="11.7109375" style="28" customWidth="1"/>
    <col min="13829" max="13830" width="9.80859375" style="28" bestFit="1" customWidth="1"/>
    <col min="13831" max="13831" width="13.5703125" style="28" bestFit="1" customWidth="1"/>
    <col min="13832" max="14080" width="8.80859375" style="28"/>
    <col min="14081" max="14081" width="58.80859375" style="28" customWidth="1"/>
    <col min="14082" max="14084" width="11.7109375" style="28" customWidth="1"/>
    <col min="14085" max="14086" width="9.80859375" style="28" bestFit="1" customWidth="1"/>
    <col min="14087" max="14087" width="13.5703125" style="28" bestFit="1" customWidth="1"/>
    <col min="14088" max="14336" width="8.80859375" style="28"/>
    <col min="14337" max="14337" width="58.80859375" style="28" customWidth="1"/>
    <col min="14338" max="14340" width="11.7109375" style="28" customWidth="1"/>
    <col min="14341" max="14342" width="9.80859375" style="28" bestFit="1" customWidth="1"/>
    <col min="14343" max="14343" width="13.5703125" style="28" bestFit="1" customWidth="1"/>
    <col min="14344" max="14592" width="8.80859375" style="28"/>
    <col min="14593" max="14593" width="58.80859375" style="28" customWidth="1"/>
    <col min="14594" max="14596" width="11.7109375" style="28" customWidth="1"/>
    <col min="14597" max="14598" width="9.80859375" style="28" bestFit="1" customWidth="1"/>
    <col min="14599" max="14599" width="13.5703125" style="28" bestFit="1" customWidth="1"/>
    <col min="14600" max="14848" width="8.80859375" style="28"/>
    <col min="14849" max="14849" width="58.80859375" style="28" customWidth="1"/>
    <col min="14850" max="14852" width="11.7109375" style="28" customWidth="1"/>
    <col min="14853" max="14854" width="9.80859375" style="28" bestFit="1" customWidth="1"/>
    <col min="14855" max="14855" width="13.5703125" style="28" bestFit="1" customWidth="1"/>
    <col min="14856" max="15104" width="8.80859375" style="28"/>
    <col min="15105" max="15105" width="58.80859375" style="28" customWidth="1"/>
    <col min="15106" max="15108" width="11.7109375" style="28" customWidth="1"/>
    <col min="15109" max="15110" width="9.80859375" style="28" bestFit="1" customWidth="1"/>
    <col min="15111" max="15111" width="13.5703125" style="28" bestFit="1" customWidth="1"/>
    <col min="15112" max="15360" width="8.80859375" style="28"/>
    <col min="15361" max="15361" width="58.80859375" style="28" customWidth="1"/>
    <col min="15362" max="15364" width="11.7109375" style="28" customWidth="1"/>
    <col min="15365" max="15366" width="9.80859375" style="28" bestFit="1" customWidth="1"/>
    <col min="15367" max="15367" width="13.5703125" style="28" bestFit="1" customWidth="1"/>
    <col min="15368" max="15616" width="8.80859375" style="28"/>
    <col min="15617" max="15617" width="58.80859375" style="28" customWidth="1"/>
    <col min="15618" max="15620" width="11.7109375" style="28" customWidth="1"/>
    <col min="15621" max="15622" width="9.80859375" style="28" bestFit="1" customWidth="1"/>
    <col min="15623" max="15623" width="13.5703125" style="28" bestFit="1" customWidth="1"/>
    <col min="15624" max="15872" width="8.80859375" style="28"/>
    <col min="15873" max="15873" width="58.80859375" style="28" customWidth="1"/>
    <col min="15874" max="15876" width="11.7109375" style="28" customWidth="1"/>
    <col min="15877" max="15878" width="9.80859375" style="28" bestFit="1" customWidth="1"/>
    <col min="15879" max="15879" width="13.5703125" style="28" bestFit="1" customWidth="1"/>
    <col min="15880" max="16128" width="8.80859375" style="28"/>
    <col min="16129" max="16129" width="58.80859375" style="28" customWidth="1"/>
    <col min="16130" max="16132" width="11.7109375" style="28" customWidth="1"/>
    <col min="16133" max="16134" width="9.80859375" style="28" bestFit="1" customWidth="1"/>
    <col min="16135" max="16135" width="13.5703125" style="28" bestFit="1" customWidth="1"/>
    <col min="16136" max="16384" width="8.80859375" style="28"/>
  </cols>
  <sheetData>
    <row r="1" spans="1:7" ht="42.7" customHeight="1">
      <c r="A1" s="235" t="s">
        <v>243</v>
      </c>
      <c r="B1" s="235"/>
      <c r="C1" s="235"/>
      <c r="D1" s="235"/>
      <c r="E1" s="235"/>
      <c r="F1" s="235"/>
      <c r="G1" s="235"/>
    </row>
    <row r="2" spans="1:7" ht="12" customHeight="1">
      <c r="B2" s="36">
        <v>2020</v>
      </c>
      <c r="C2" s="36">
        <f>B2+1</f>
        <v>2021</v>
      </c>
      <c r="D2" s="36">
        <f t="shared" ref="D2:F2" si="0">C2+1</f>
        <v>2022</v>
      </c>
      <c r="E2" s="36">
        <f t="shared" si="0"/>
        <v>2023</v>
      </c>
      <c r="F2" s="36">
        <f t="shared" si="0"/>
        <v>2024</v>
      </c>
    </row>
    <row r="3" spans="1:7">
      <c r="A3" s="37" t="s">
        <v>85</v>
      </c>
      <c r="B3" s="38"/>
      <c r="C3" s="38"/>
    </row>
    <row r="4" spans="1:7">
      <c r="A4" s="35" t="s">
        <v>86</v>
      </c>
      <c r="B4" s="39">
        <v>479355</v>
      </c>
      <c r="C4" s="39">
        <v>495597</v>
      </c>
      <c r="D4" s="40">
        <v>500134</v>
      </c>
      <c r="E4" s="41">
        <v>505856</v>
      </c>
      <c r="F4" s="41">
        <v>520273</v>
      </c>
    </row>
    <row r="5" spans="1:7" ht="24.6">
      <c r="A5" s="42" t="s">
        <v>87</v>
      </c>
      <c r="B5" s="39"/>
      <c r="C5" s="39"/>
      <c r="D5" s="43"/>
      <c r="E5" s="44"/>
      <c r="F5" s="44"/>
    </row>
    <row r="6" spans="1:7">
      <c r="A6" s="45" t="s">
        <v>88</v>
      </c>
      <c r="B6" s="39">
        <v>41583</v>
      </c>
      <c r="C6" s="39">
        <v>45486</v>
      </c>
      <c r="D6" s="44">
        <v>46438</v>
      </c>
      <c r="E6" s="44">
        <v>46542</v>
      </c>
      <c r="F6" s="44">
        <v>46622</v>
      </c>
    </row>
    <row r="7" spans="1:7">
      <c r="A7" s="45" t="s">
        <v>89</v>
      </c>
      <c r="B7" s="39"/>
      <c r="C7" s="39"/>
      <c r="D7" s="44"/>
      <c r="E7" s="44"/>
      <c r="F7" s="44"/>
    </row>
    <row r="8" spans="1:7">
      <c r="A8" s="46" t="s">
        <v>90</v>
      </c>
      <c r="B8" s="39">
        <v>9387</v>
      </c>
      <c r="C8" s="39">
        <v>25951</v>
      </c>
      <c r="D8" s="44">
        <v>-12724</v>
      </c>
      <c r="E8" s="44">
        <v>1685</v>
      </c>
      <c r="F8" s="44">
        <v>-2153</v>
      </c>
    </row>
    <row r="9" spans="1:7">
      <c r="A9" s="46" t="s">
        <v>91</v>
      </c>
      <c r="B9" s="39">
        <v>-37630</v>
      </c>
      <c r="C9" s="39">
        <v>-22780</v>
      </c>
      <c r="D9" s="44">
        <v>-16247</v>
      </c>
      <c r="E9" s="44">
        <v>-15780</v>
      </c>
      <c r="F9" s="44">
        <v>-5517</v>
      </c>
    </row>
    <row r="10" spans="1:7" ht="27" customHeight="1">
      <c r="A10" s="46" t="s">
        <v>92</v>
      </c>
      <c r="B10" s="66">
        <v>-52191</v>
      </c>
      <c r="C10" s="66">
        <v>13573</v>
      </c>
      <c r="D10" s="67">
        <v>16255</v>
      </c>
      <c r="E10" s="67">
        <v>14703</v>
      </c>
      <c r="F10" s="67">
        <v>-2975</v>
      </c>
    </row>
    <row r="11" spans="1:7" ht="28.9" customHeight="1">
      <c r="A11" s="46" t="s">
        <v>127</v>
      </c>
      <c r="B11" s="66">
        <v>29612</v>
      </c>
      <c r="C11" s="66">
        <v>17421</v>
      </c>
      <c r="D11" s="67">
        <v>42314</v>
      </c>
      <c r="E11" s="67">
        <v>40541</v>
      </c>
      <c r="F11" s="67">
        <v>60255</v>
      </c>
    </row>
    <row r="12" spans="1:7" ht="13.95" customHeight="1">
      <c r="A12" s="47" t="s">
        <v>94</v>
      </c>
      <c r="B12" s="48">
        <f>SUM(B4:B11)</f>
        <v>470116</v>
      </c>
      <c r="C12" s="48">
        <f>SUM(C4:C11)</f>
        <v>575248</v>
      </c>
      <c r="D12" s="48">
        <f>SUM(D4:D11)</f>
        <v>576170</v>
      </c>
      <c r="E12" s="48">
        <f>SUM(E4:E11)</f>
        <v>593547</v>
      </c>
      <c r="F12" s="48">
        <f>SUM(F4:F11)</f>
        <v>616505</v>
      </c>
      <c r="G12" s="28" t="str">
        <f ca="1">getformula(F12)</f>
        <v>&lt;--  =SUM(F4:F11)</v>
      </c>
    </row>
    <row r="13" spans="1:7" ht="13.95" customHeight="1">
      <c r="B13" s="39"/>
      <c r="C13" s="39"/>
      <c r="D13" s="44"/>
      <c r="E13" s="44"/>
      <c r="F13" s="44"/>
    </row>
    <row r="14" spans="1:7" ht="13.95" customHeight="1">
      <c r="A14" s="37" t="s">
        <v>95</v>
      </c>
      <c r="B14" s="39"/>
      <c r="C14" s="39"/>
      <c r="D14" s="44"/>
      <c r="E14" s="44"/>
      <c r="F14" s="44"/>
    </row>
    <row r="15" spans="1:7" ht="13.95" customHeight="1">
      <c r="A15" s="35" t="s">
        <v>96</v>
      </c>
      <c r="B15" s="39">
        <v>-5000</v>
      </c>
      <c r="C15" s="39">
        <v>-55000</v>
      </c>
      <c r="D15" s="44">
        <v>50000</v>
      </c>
      <c r="E15" s="44">
        <v>-10000</v>
      </c>
      <c r="F15" s="44">
        <v>20000</v>
      </c>
    </row>
    <row r="16" spans="1:7" ht="13.95" customHeight="1">
      <c r="A16" s="35" t="s">
        <v>97</v>
      </c>
      <c r="B16" s="39">
        <v>-48944</v>
      </c>
      <c r="C16" s="39">
        <v>-70326</v>
      </c>
      <c r="D16" s="44">
        <v>-89947</v>
      </c>
      <c r="E16" s="44">
        <v>-37044</v>
      </c>
      <c r="F16" s="44">
        <v>-88426</v>
      </c>
    </row>
    <row r="17" spans="1:7" ht="25.9" customHeight="1">
      <c r="A17" s="42" t="s">
        <v>98</v>
      </c>
      <c r="B17" s="66">
        <v>197</v>
      </c>
      <c r="C17" s="66">
        <v>6956</v>
      </c>
      <c r="D17" s="67">
        <v>22942</v>
      </c>
      <c r="E17" s="67">
        <v>6179</v>
      </c>
      <c r="F17" s="67">
        <v>28693</v>
      </c>
    </row>
    <row r="18" spans="1:7" ht="13.95" customHeight="1">
      <c r="A18" s="37" t="s">
        <v>99</v>
      </c>
      <c r="B18" s="49">
        <f>SUM(B15:B17)</f>
        <v>-53747</v>
      </c>
      <c r="C18" s="49">
        <f t="shared" ref="C18:F18" si="1">SUM(C15:C17)</f>
        <v>-118370</v>
      </c>
      <c r="D18" s="49">
        <f t="shared" si="1"/>
        <v>-17005</v>
      </c>
      <c r="E18" s="49">
        <f t="shared" si="1"/>
        <v>-40865</v>
      </c>
      <c r="F18" s="49">
        <f t="shared" si="1"/>
        <v>-39733</v>
      </c>
      <c r="G18" s="28" t="str">
        <f ca="1">getformula(F18)</f>
        <v>&lt;--  =SUM(F15:F17)</v>
      </c>
    </row>
    <row r="19" spans="1:7" ht="13.95" customHeight="1">
      <c r="B19" s="43"/>
      <c r="C19" s="43"/>
      <c r="D19" s="44"/>
      <c r="E19" s="44"/>
      <c r="F19" s="44"/>
    </row>
    <row r="20" spans="1:7" ht="13.95" customHeight="1">
      <c r="A20" s="37" t="s">
        <v>100</v>
      </c>
      <c r="B20" s="39"/>
      <c r="C20" s="39"/>
      <c r="D20" s="44"/>
      <c r="E20" s="44"/>
      <c r="F20" s="44"/>
    </row>
    <row r="21" spans="1:7" ht="13.95" customHeight="1">
      <c r="A21" s="35" t="s">
        <v>101</v>
      </c>
      <c r="B21" s="39">
        <v>0</v>
      </c>
      <c r="C21" s="39">
        <v>0</v>
      </c>
      <c r="D21" s="44">
        <v>-300000</v>
      </c>
      <c r="E21" s="44">
        <v>0</v>
      </c>
      <c r="F21" s="44">
        <v>-7095</v>
      </c>
    </row>
    <row r="22" spans="1:7" ht="13.95" customHeight="1">
      <c r="A22" s="35" t="s">
        <v>102</v>
      </c>
      <c r="B22" s="39">
        <v>1242431</v>
      </c>
      <c r="C22" s="39">
        <v>0</v>
      </c>
      <c r="D22" s="44">
        <v>0</v>
      </c>
      <c r="E22" s="44">
        <v>0</v>
      </c>
      <c r="F22" s="44">
        <v>250000</v>
      </c>
    </row>
    <row r="23" spans="1:7" ht="13.95" customHeight="1">
      <c r="A23" s="35" t="s">
        <v>103</v>
      </c>
      <c r="B23" s="39">
        <v>48286</v>
      </c>
      <c r="C23" s="39">
        <v>114276</v>
      </c>
      <c r="D23" s="44">
        <v>69375</v>
      </c>
      <c r="E23" s="44">
        <v>68214</v>
      </c>
      <c r="F23" s="44">
        <v>37855</v>
      </c>
    </row>
    <row r="24" spans="1:7" ht="13.95" customHeight="1">
      <c r="A24" s="35" t="s">
        <v>38</v>
      </c>
      <c r="B24" s="39">
        <v>-332986</v>
      </c>
      <c r="C24" s="39">
        <v>-344128</v>
      </c>
      <c r="D24" s="44">
        <v>-361208</v>
      </c>
      <c r="E24" s="44">
        <v>-367499</v>
      </c>
      <c r="F24" s="44">
        <v>-378325</v>
      </c>
    </row>
    <row r="25" spans="1:7" ht="13.95" customHeight="1">
      <c r="A25" s="35" t="s">
        <v>104</v>
      </c>
      <c r="B25" s="39">
        <v>-150095</v>
      </c>
      <c r="C25" s="39">
        <v>-200031</v>
      </c>
      <c r="D25" s="44">
        <v>-200038</v>
      </c>
      <c r="E25" s="50">
        <v>-200003</v>
      </c>
      <c r="F25" s="50">
        <v>-597738</v>
      </c>
    </row>
    <row r="26" spans="1:7" ht="13.95" customHeight="1">
      <c r="A26" s="37" t="s">
        <v>105</v>
      </c>
      <c r="B26" s="48">
        <f>SUM(B21:B25)</f>
        <v>807636</v>
      </c>
      <c r="C26" s="48">
        <f>SUM(C21:C25)</f>
        <v>-429883</v>
      </c>
      <c r="D26" s="48">
        <f>SUM(D21:D25)</f>
        <v>-791871</v>
      </c>
      <c r="E26" s="48">
        <f>SUM(E21:E25)</f>
        <v>-499288</v>
      </c>
      <c r="F26" s="48">
        <f>SUM(F21:F25)</f>
        <v>-695303</v>
      </c>
      <c r="G26" s="28" t="str">
        <f ca="1">getformula(F26)</f>
        <v>&lt;--  =SUM(F21:F25)</v>
      </c>
    </row>
    <row r="28" spans="1:7">
      <c r="A28" s="37" t="s">
        <v>106</v>
      </c>
      <c r="B28" s="51">
        <f>B12+B18+B26</f>
        <v>1224005</v>
      </c>
      <c r="C28" s="51">
        <f>C12+C18+C26</f>
        <v>26995</v>
      </c>
      <c r="D28" s="51">
        <f>D12+D18+D26</f>
        <v>-232706</v>
      </c>
      <c r="E28" s="51">
        <f>E12+E18+E26</f>
        <v>53394</v>
      </c>
      <c r="F28" s="51">
        <f>F12+F18+F26</f>
        <v>-118531</v>
      </c>
      <c r="G28" s="28" t="str">
        <f ca="1">getformula(F28)</f>
        <v>&lt;--  =F12+F18+F26</v>
      </c>
    </row>
    <row r="30" spans="1:7">
      <c r="A30" s="52" t="s">
        <v>107</v>
      </c>
    </row>
    <row r="31" spans="1:7">
      <c r="A31" s="35" t="s">
        <v>108</v>
      </c>
    </row>
    <row r="32" spans="1:7">
      <c r="A32" s="53" t="s">
        <v>47</v>
      </c>
      <c r="B32" s="43">
        <v>191282.25</v>
      </c>
      <c r="C32" s="43">
        <v>131979</v>
      </c>
      <c r="D32" s="43">
        <v>236051.25</v>
      </c>
      <c r="E32" s="43">
        <v>212713.5</v>
      </c>
      <c r="F32" s="43">
        <v>228820.5</v>
      </c>
    </row>
    <row r="33" spans="1:7">
      <c r="A33" s="53" t="s">
        <v>109</v>
      </c>
      <c r="B33" s="43">
        <v>83553</v>
      </c>
      <c r="C33" s="43">
        <v>83551</v>
      </c>
      <c r="D33" s="43">
        <v>70351</v>
      </c>
      <c r="E33" s="43">
        <v>57151</v>
      </c>
      <c r="F33" s="43">
        <v>57910</v>
      </c>
    </row>
    <row r="35" spans="1:7">
      <c r="A35" s="35" t="s">
        <v>110</v>
      </c>
      <c r="B35" s="54">
        <f>B32/(B4+B32)</f>
        <v>0.28522461285888906</v>
      </c>
      <c r="C35" s="54">
        <f>C32/(C4+C32)</f>
        <v>0.210299629048912</v>
      </c>
      <c r="D35" s="54">
        <f>D32/(D4+D32)</f>
        <v>0.32064110222257236</v>
      </c>
      <c r="E35" s="54">
        <f>E32/(E4+E32)</f>
        <v>0.29602355791610974</v>
      </c>
      <c r="F35" s="54">
        <f>F32/(F4+F32)</f>
        <v>0.30546320319159093</v>
      </c>
      <c r="G35" s="28" t="str">
        <f ca="1">getformula(F35)</f>
        <v>&lt;--  =F32/(F4+F32)</v>
      </c>
    </row>
  </sheetData>
  <mergeCells count="1">
    <mergeCell ref="A1:G1"/>
  </mergeCells>
  <printOptions headings="1" gridLines="1"/>
  <pageMargins left="0.75" right="0.75" top="1" bottom="1" header="0.5" footer="0.5"/>
  <pageSetup orientation="portrait" verticalDpi="4" r:id="rId1"/>
  <headerFooter alignWithMargins="0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20025A5C-60C8-40D0-B188-E0A24802834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'Statement of CF, ABC corp'!B18:F18</xm:f>
              <xm:sqref>H18</xm:sqref>
            </x14:sparkline>
          </x14:sparklines>
        </x14:sparklineGroup>
        <x14:sparklineGroup displayEmptyCellsAs="gap" xr2:uid="{AB93041C-95F1-4787-AC73-AC5E4DCD129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'Statement of CF, ABC corp'!B12:F12</xm:f>
              <xm:sqref>H12</xm:sqref>
            </x14:sparkline>
          </x14:sparklines>
        </x14:sparklineGroup>
        <x14:sparklineGroup displayEmptyCellsAs="gap" xr2:uid="{AD911D19-AF4B-48C4-9A98-DF72FF0AD9B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'Statement of CF, ABC corp'!B11:F11</xm:f>
              <xm:sqref>H11</xm:sqref>
            </x14:sparkline>
          </x14:sparklines>
        </x14:sparklineGroup>
        <x14:sparklineGroup displayEmptyCellsAs="gap" xr2:uid="{D5C28C1D-98E2-4840-8F74-846BF1F584AD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'Statement of CF, ABC corp'!B10:F10</xm:f>
              <xm:sqref>H10</xm:sqref>
            </x14:sparkline>
          </x14:sparklines>
        </x14:sparklineGroup>
        <x14:sparklineGroup displayEmptyCellsAs="gap" xr2:uid="{E6E9FD01-7BC5-4B6A-A3E5-58C9F17E717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'Statement of CF, ABC corp'!B9:F9</xm:f>
              <xm:sqref>H9</xm:sqref>
            </x14:sparkline>
          </x14:sparklines>
        </x14:sparklineGroup>
        <x14:sparklineGroup displayEmptyCellsAs="gap" xr2:uid="{8FA72627-9C00-406B-9F02-263C72219962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'Statement of CF, ABC corp'!B8:F8</xm:f>
              <xm:sqref>H8</xm:sqref>
            </x14:sparkline>
          </x14:sparklines>
        </x14:sparklineGroup>
        <x14:sparklineGroup displayEmptyCellsAs="gap" xr2:uid="{1024EBFE-B76C-4019-BBBC-B142E2F5F11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'Statement of CF, ABC corp'!B6:F6</xm:f>
              <xm:sqref>H6</xm:sqref>
            </x14:sparkline>
          </x14:sparklines>
        </x14:sparklineGroup>
        <x14:sparklineGroup displayEmptyCellsAs="gap" xr2:uid="{EB18D7B5-E15B-43DD-B6DE-2946687181DD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'Statement of CF, ABC corp'!B4:F4</xm:f>
              <xm:sqref>H4</xm:sqref>
            </x14:sparkline>
          </x14:sparklines>
        </x14:sparklineGroup>
      </x14:sparklineGroup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8"/>
  <dimension ref="A1:H117"/>
  <sheetViews>
    <sheetView workbookViewId="0">
      <selection sqref="A1:H16"/>
    </sheetView>
  </sheetViews>
  <sheetFormatPr defaultRowHeight="13.8"/>
  <cols>
    <col min="1" max="1" width="39.47265625" customWidth="1"/>
    <col min="2" max="2" width="9.90234375" bestFit="1" customWidth="1"/>
    <col min="3" max="6" width="7.5234375" customWidth="1"/>
    <col min="7" max="7" width="9.6171875" bestFit="1" customWidth="1"/>
    <col min="8" max="8" width="19.5703125" bestFit="1" customWidth="1"/>
  </cols>
  <sheetData>
    <row r="1" spans="1:8" ht="37.5" customHeight="1">
      <c r="A1" s="236" t="s">
        <v>353</v>
      </c>
      <c r="B1" s="236"/>
      <c r="C1" s="236"/>
      <c r="D1" s="236"/>
      <c r="E1" s="236"/>
      <c r="F1" s="236"/>
      <c r="G1" s="236"/>
      <c r="H1" s="236"/>
    </row>
    <row r="2" spans="1:8" s="14" customFormat="1">
      <c r="A2" s="55" t="s">
        <v>245</v>
      </c>
      <c r="B2" s="16">
        <f>'FCF, ABC corp'!B30</f>
        <v>481090.62792180124</v>
      </c>
    </row>
    <row r="3" spans="1:8" s="14" customFormat="1">
      <c r="A3" s="17" t="s">
        <v>42</v>
      </c>
      <c r="B3" s="7">
        <v>0.08</v>
      </c>
      <c r="C3" s="17" t="s">
        <v>111</v>
      </c>
    </row>
    <row r="4" spans="1:8" s="14" customFormat="1">
      <c r="A4" s="17" t="s">
        <v>43</v>
      </c>
      <c r="B4" s="7">
        <v>0.05</v>
      </c>
      <c r="C4" s="17" t="s">
        <v>112</v>
      </c>
    </row>
    <row r="5" spans="1:8" s="14" customFormat="1">
      <c r="A5" s="17" t="s">
        <v>44</v>
      </c>
      <c r="B5" s="7">
        <v>0.107</v>
      </c>
      <c r="C5" s="17"/>
    </row>
    <row r="6" spans="1:8" s="14" customFormat="1">
      <c r="A6" s="17"/>
      <c r="B6" s="7"/>
    </row>
    <row r="7" spans="1:8" s="14" customFormat="1" ht="14.1">
      <c r="A7" s="140" t="s">
        <v>12</v>
      </c>
      <c r="B7" s="140">
        <v>2020</v>
      </c>
      <c r="C7" s="140">
        <f>B7+1</f>
        <v>2021</v>
      </c>
      <c r="D7" s="140">
        <f t="shared" ref="D7:G7" si="0">C7+1</f>
        <v>2022</v>
      </c>
      <c r="E7" s="140">
        <f t="shared" si="0"/>
        <v>2023</v>
      </c>
      <c r="F7" s="140">
        <f t="shared" si="0"/>
        <v>2024</v>
      </c>
      <c r="G7" s="140">
        <f t="shared" si="0"/>
        <v>2025</v>
      </c>
    </row>
    <row r="8" spans="1:8" s="14" customFormat="1">
      <c r="A8" s="17" t="s">
        <v>13</v>
      </c>
      <c r="B8" s="16"/>
      <c r="C8" s="16">
        <f>B2*(1+B3)</f>
        <v>519577.87815554539</v>
      </c>
      <c r="D8" s="16">
        <f>C8*(1+$B$3)</f>
        <v>561144.10840798903</v>
      </c>
      <c r="E8" s="16">
        <f>D8*(1+$B$3)</f>
        <v>606035.63708062819</v>
      </c>
      <c r="F8" s="16">
        <f>E8*(1+$B$3)</f>
        <v>654518.48804707848</v>
      </c>
      <c r="G8" s="16">
        <f>F8*(1+$B$3)</f>
        <v>706879.96709084476</v>
      </c>
      <c r="H8" s="14" t="str">
        <f ca="1">"&lt;--"&amp;_xlfn.FORMULATEXT(G8)</f>
        <v>&lt;--=F8*(1+$B$3)</v>
      </c>
    </row>
    <row r="9" spans="1:8" s="14" customFormat="1">
      <c r="A9" s="17" t="s">
        <v>11</v>
      </c>
      <c r="B9" s="16"/>
      <c r="C9" s="16"/>
      <c r="D9" s="16"/>
      <c r="E9" s="16"/>
      <c r="F9" s="16"/>
      <c r="G9" s="16">
        <f>G8*(1+B4)/(B5-B4)</f>
        <v>13021473.077989249</v>
      </c>
      <c r="H9" s="14" t="str">
        <f ca="1">"&lt;--"&amp;_xlfn.FORMULATEXT(G9)</f>
        <v>&lt;--=G8*(1+B4)/(B5-B4)</v>
      </c>
    </row>
    <row r="10" spans="1:8" s="11" customFormat="1" ht="14.1">
      <c r="A10" s="135" t="s">
        <v>41</v>
      </c>
      <c r="B10" s="13"/>
      <c r="C10" s="13">
        <f>SUM(C8:C9)</f>
        <v>519577.87815554539</v>
      </c>
      <c r="D10" s="13">
        <f t="shared" ref="D10:G10" si="1">SUM(D8:D9)</f>
        <v>561144.10840798903</v>
      </c>
      <c r="E10" s="13">
        <f t="shared" si="1"/>
        <v>606035.63708062819</v>
      </c>
      <c r="F10" s="13">
        <f t="shared" si="1"/>
        <v>654518.48804707848</v>
      </c>
      <c r="G10" s="13">
        <f t="shared" si="1"/>
        <v>13728353.045080094</v>
      </c>
      <c r="H10" s="11" t="str">
        <f ca="1">"&lt;--"&amp;_xlfn.FORMULATEXT(G10)</f>
        <v>&lt;--=SUM(G8:G9)</v>
      </c>
    </row>
    <row r="11" spans="1:8" s="14" customFormat="1">
      <c r="B11" s="16"/>
      <c r="C11" s="16"/>
      <c r="D11" s="16"/>
      <c r="E11" s="16"/>
      <c r="F11" s="16"/>
    </row>
    <row r="12" spans="1:8" s="14" customFormat="1">
      <c r="A12" s="18" t="s">
        <v>10</v>
      </c>
      <c r="B12" s="15">
        <f>NPV(B5,C10:G10)*(1+B5)^0.5</f>
        <v>10592904.216033682</v>
      </c>
      <c r="C12" s="16" t="str">
        <f ca="1">"&lt;--"&amp;_xlfn.FORMULATEXT(B12)</f>
        <v>&lt;--=NPV(B5,C10:G10)*(1+B5)^0.5</v>
      </c>
      <c r="D12" s="16"/>
      <c r="E12" s="16"/>
      <c r="F12" s="16"/>
    </row>
    <row r="13" spans="1:8" s="14" customFormat="1">
      <c r="A13" s="56" t="s">
        <v>113</v>
      </c>
      <c r="B13" s="15">
        <v>73697</v>
      </c>
      <c r="C13" s="19" t="s">
        <v>45</v>
      </c>
      <c r="D13" s="16"/>
      <c r="E13" s="16"/>
      <c r="F13" s="16"/>
    </row>
    <row r="14" spans="1:8" s="14" customFormat="1">
      <c r="A14" s="18" t="s">
        <v>354</v>
      </c>
      <c r="B14" s="15">
        <v>-1379106</v>
      </c>
      <c r="C14" s="19" t="s">
        <v>45</v>
      </c>
      <c r="D14" s="16"/>
      <c r="E14" s="16"/>
      <c r="F14" s="16"/>
    </row>
    <row r="15" spans="1:8" s="14" customFormat="1" ht="14.1">
      <c r="A15" s="136" t="s">
        <v>46</v>
      </c>
      <c r="B15" s="137">
        <f>SUM(B12:B14)</f>
        <v>9287495.2160336822</v>
      </c>
      <c r="C15" s="11" t="str">
        <f ca="1">"&lt;--"&amp;_xlfn.FORMULATEXT(B15)</f>
        <v>&lt;--=SUM(B12:B14)</v>
      </c>
      <c r="D15" s="17"/>
      <c r="E15" s="17"/>
      <c r="F15" s="17"/>
    </row>
    <row r="16" spans="1:8" s="14" customFormat="1">
      <c r="A16" s="150" t="s">
        <v>114</v>
      </c>
      <c r="B16" s="151">
        <f>B15/1000000</f>
        <v>9.2874952160336814</v>
      </c>
      <c r="C16" s="14" t="str">
        <f ca="1">"&lt;--"&amp;_xlfn.FORMULATEXT(B16)</f>
        <v>&lt;--=B15/1000000</v>
      </c>
      <c r="D16" s="17"/>
      <c r="E16" s="17"/>
      <c r="F16" s="17"/>
    </row>
    <row r="17" spans="1:7" s="14" customFormat="1"/>
    <row r="18" spans="1:7" s="14" customFormat="1" ht="14.1">
      <c r="A18" s="11" t="s">
        <v>115</v>
      </c>
    </row>
    <row r="19" spans="1:7" s="14" customFormat="1" ht="14.25" customHeight="1"/>
    <row r="20" spans="1:7" s="14" customFormat="1">
      <c r="B20" s="14" t="s">
        <v>244</v>
      </c>
    </row>
    <row r="21" spans="1:7" s="14" customFormat="1">
      <c r="A21" s="123" t="str">
        <f ca="1">"Data-Table header, "&amp;_xlfn.FORMULATEXT(B21)</f>
        <v>Data-Table header, =IF(B5&gt;B4,B16,"nmf")</v>
      </c>
      <c r="B21" s="57">
        <f>IF(B5&gt;B4,B16,"nmf")</f>
        <v>9.2874952160336814</v>
      </c>
      <c r="C21" s="58">
        <v>0</v>
      </c>
      <c r="D21" s="58">
        <v>0.03</v>
      </c>
      <c r="E21" s="58">
        <v>0.06</v>
      </c>
      <c r="F21" s="58">
        <v>0.09</v>
      </c>
      <c r="G21" s="58">
        <v>0.12</v>
      </c>
    </row>
    <row r="22" spans="1:7" s="14" customFormat="1">
      <c r="B22" s="58">
        <v>0.06</v>
      </c>
      <c r="C22" s="59">
        <f t="dataTable" ref="C22:G28" dt2D="1" dtr="1" r1="B4" r2="B5"/>
        <v>10.37887747585139</v>
      </c>
      <c r="D22" s="59">
        <v>19.986676173474613</v>
      </c>
      <c r="E22" s="59" t="str">
        <v>nmf</v>
      </c>
      <c r="F22" s="59" t="str">
        <v>nmf</v>
      </c>
      <c r="G22" s="59" t="str">
        <v>nmf</v>
      </c>
    </row>
    <row r="23" spans="1:7" s="14" customFormat="1">
      <c r="B23" s="58">
        <v>0.08</v>
      </c>
      <c r="C23" s="59">
        <v>7.4439618113606292</v>
      </c>
      <c r="D23" s="59">
        <v>11.493670586904692</v>
      </c>
      <c r="E23" s="59">
        <v>27.692505689080935</v>
      </c>
      <c r="F23" s="59" t="str">
        <v>nmf</v>
      </c>
      <c r="G23" s="59" t="str">
        <v>nmf</v>
      </c>
    </row>
    <row r="24" spans="1:7" s="14" customFormat="1">
      <c r="B24" s="58">
        <v>0.1</v>
      </c>
      <c r="C24" s="59">
        <v>5.6865305149099967</v>
      </c>
      <c r="D24" s="59">
        <v>7.8567041879000463</v>
      </c>
      <c r="E24" s="59">
        <v>13.282138370375156</v>
      </c>
      <c r="F24" s="59">
        <v>51.260177647700942</v>
      </c>
      <c r="G24" s="59" t="str">
        <v>nmf</v>
      </c>
    </row>
    <row r="25" spans="1:7" s="14" customFormat="1">
      <c r="B25" s="58">
        <v>0.12</v>
      </c>
      <c r="C25" s="59">
        <v>4.5175689509252894</v>
      </c>
      <c r="D25" s="59">
        <v>5.8381957129880613</v>
      </c>
      <c r="E25" s="59">
        <v>8.4794492371136059</v>
      </c>
      <c r="F25" s="59">
        <v>16.403209809490242</v>
      </c>
      <c r="G25" s="59" t="str">
        <v>nmf</v>
      </c>
    </row>
    <row r="26" spans="1:7" s="14" customFormat="1">
      <c r="B26" s="58">
        <v>0.14000000000000001</v>
      </c>
      <c r="C26" s="59">
        <v>3.6846668968555751</v>
      </c>
      <c r="D26" s="59">
        <v>4.5551878485525519</v>
      </c>
      <c r="E26" s="59">
        <v>6.0785995140222626</v>
      </c>
      <c r="F26" s="59">
        <v>9.4301051780556264</v>
      </c>
      <c r="G26" s="59">
        <v>22.836127834189067</v>
      </c>
    </row>
    <row r="27" spans="1:7" s="14" customFormat="1">
      <c r="B27" s="58">
        <v>0.16</v>
      </c>
      <c r="C27" s="59">
        <v>3.0616381859006734</v>
      </c>
      <c r="D27" s="59">
        <v>3.6680960491594776</v>
      </c>
      <c r="E27" s="59">
        <v>4.6384286303735642</v>
      </c>
      <c r="F27" s="59">
        <v>6.4404748526282969</v>
      </c>
      <c r="G27" s="59">
        <v>10.945590408265129</v>
      </c>
    </row>
    <row r="28" spans="1:7" s="14" customFormat="1">
      <c r="B28" s="58">
        <v>0.18</v>
      </c>
      <c r="C28" s="59">
        <v>2.5783942348549691</v>
      </c>
      <c r="D28" s="59">
        <v>3.0184585357630431</v>
      </c>
      <c r="E28" s="59">
        <v>3.6785549871251528</v>
      </c>
      <c r="F28" s="59">
        <v>4.7787157393953352</v>
      </c>
      <c r="G28" s="59">
        <v>6.9790372439357018</v>
      </c>
    </row>
    <row r="29" spans="1:7" s="14" customFormat="1"/>
    <row r="30" spans="1:7" s="14" customFormat="1"/>
    <row r="31" spans="1:7" s="14" customFormat="1"/>
    <row r="32" spans="1:7" s="14" customFormat="1"/>
    <row r="33" s="14" customFormat="1"/>
    <row r="34" s="14" customFormat="1"/>
    <row r="35" s="14" customFormat="1"/>
    <row r="36" s="14" customFormat="1"/>
    <row r="37" s="14" customFormat="1"/>
    <row r="38" s="14" customFormat="1"/>
    <row r="39" s="14" customFormat="1"/>
    <row r="40" s="14" customFormat="1"/>
    <row r="41" s="14" customFormat="1"/>
    <row r="42" s="14" customFormat="1"/>
    <row r="43" s="14" customFormat="1"/>
    <row r="44" s="14" customFormat="1"/>
    <row r="45" s="14" customFormat="1"/>
    <row r="46" s="14" customFormat="1"/>
    <row r="47" s="14" customFormat="1"/>
    <row r="48" s="14" customFormat="1"/>
    <row r="49" s="14" customFormat="1"/>
    <row r="50" s="14" customFormat="1"/>
    <row r="51" s="14" customFormat="1"/>
    <row r="52" s="14" customFormat="1"/>
    <row r="53" s="14" customFormat="1"/>
    <row r="54" s="14" customFormat="1"/>
    <row r="55" s="14" customFormat="1"/>
    <row r="56" s="14" customFormat="1"/>
    <row r="57" s="14" customFormat="1"/>
    <row r="58" s="14" customFormat="1"/>
    <row r="59" s="14" customFormat="1"/>
    <row r="60" s="14" customFormat="1"/>
    <row r="61" s="14" customFormat="1"/>
    <row r="62" s="14" customFormat="1"/>
    <row r="63" s="14" customFormat="1"/>
    <row r="64" s="14" customFormat="1"/>
    <row r="65" s="14" customFormat="1"/>
    <row r="66" s="14" customFormat="1"/>
    <row r="67" s="14" customFormat="1"/>
    <row r="68" s="14" customFormat="1"/>
    <row r="69" s="14" customFormat="1"/>
    <row r="70" s="14" customFormat="1"/>
    <row r="71" s="14" customFormat="1"/>
    <row r="72" s="14" customFormat="1"/>
    <row r="73" s="14" customFormat="1"/>
    <row r="74" s="14" customFormat="1"/>
    <row r="75" s="14" customFormat="1"/>
    <row r="76" s="14" customFormat="1"/>
    <row r="77" s="14" customFormat="1"/>
    <row r="78" s="14" customFormat="1"/>
    <row r="79" s="14" customFormat="1"/>
    <row r="80" s="14" customFormat="1"/>
    <row r="81" s="14" customFormat="1"/>
    <row r="82" s="14" customFormat="1"/>
    <row r="83" s="14" customFormat="1"/>
    <row r="84" s="14" customFormat="1"/>
    <row r="85" s="14" customFormat="1"/>
    <row r="86" s="14" customFormat="1"/>
    <row r="87" s="14" customFormat="1"/>
    <row r="88" s="14" customFormat="1"/>
    <row r="89" s="14" customFormat="1"/>
    <row r="90" s="14" customFormat="1"/>
    <row r="91" s="14" customFormat="1"/>
    <row r="92" s="14" customFormat="1"/>
    <row r="93" s="14" customFormat="1"/>
    <row r="94" s="14" customFormat="1"/>
    <row r="95" s="14" customFormat="1"/>
    <row r="96" s="14" customFormat="1"/>
    <row r="97" s="14" customFormat="1"/>
    <row r="98" s="14" customFormat="1"/>
    <row r="99" s="14" customFormat="1"/>
    <row r="100" s="14" customFormat="1"/>
    <row r="101" s="14" customFormat="1"/>
    <row r="102" s="14" customFormat="1"/>
    <row r="103" s="14" customFormat="1"/>
    <row r="104" s="14" customFormat="1"/>
    <row r="105" s="14" customFormat="1"/>
    <row r="106" s="14" customFormat="1"/>
    <row r="107" s="14" customFormat="1"/>
    <row r="108" s="14" customFormat="1"/>
    <row r="109" s="14" customFormat="1"/>
    <row r="110" s="14" customFormat="1"/>
    <row r="111" s="14" customFormat="1"/>
    <row r="112" s="14" customFormat="1"/>
    <row r="113" s="14" customFormat="1"/>
    <row r="114" s="14" customFormat="1"/>
    <row r="115" s="14" customFormat="1"/>
    <row r="116" s="14" customFormat="1"/>
    <row r="117" s="14" customFormat="1"/>
  </sheetData>
  <mergeCells count="1">
    <mergeCell ref="A1:H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7"/>
  <dimension ref="A1:G37"/>
  <sheetViews>
    <sheetView zoomScale="110" zoomScaleNormal="110" workbookViewId="0">
      <selection activeCell="A7" sqref="A7"/>
    </sheetView>
  </sheetViews>
  <sheetFormatPr defaultRowHeight="12.3"/>
  <cols>
    <col min="1" max="1" width="38.28515625" style="35" customWidth="1"/>
    <col min="2" max="4" width="11.7109375" style="28" customWidth="1"/>
    <col min="5" max="6" width="9.80859375" style="28" bestFit="1" customWidth="1"/>
    <col min="7" max="7" width="16" style="28" bestFit="1" customWidth="1"/>
    <col min="8" max="256" width="8.80859375" style="28"/>
    <col min="257" max="257" width="58.80859375" style="28" customWidth="1"/>
    <col min="258" max="260" width="11.7109375" style="28" customWidth="1"/>
    <col min="261" max="262" width="9.80859375" style="28" bestFit="1" customWidth="1"/>
    <col min="263" max="263" width="13.5703125" style="28" bestFit="1" customWidth="1"/>
    <col min="264" max="512" width="8.80859375" style="28"/>
    <col min="513" max="513" width="58.80859375" style="28" customWidth="1"/>
    <col min="514" max="516" width="11.7109375" style="28" customWidth="1"/>
    <col min="517" max="518" width="9.80859375" style="28" bestFit="1" customWidth="1"/>
    <col min="519" max="519" width="13.5703125" style="28" bestFit="1" customWidth="1"/>
    <col min="520" max="768" width="8.80859375" style="28"/>
    <col min="769" max="769" width="58.80859375" style="28" customWidth="1"/>
    <col min="770" max="772" width="11.7109375" style="28" customWidth="1"/>
    <col min="773" max="774" width="9.80859375" style="28" bestFit="1" customWidth="1"/>
    <col min="775" max="775" width="13.5703125" style="28" bestFit="1" customWidth="1"/>
    <col min="776" max="1024" width="8.80859375" style="28"/>
    <col min="1025" max="1025" width="58.80859375" style="28" customWidth="1"/>
    <col min="1026" max="1028" width="11.7109375" style="28" customWidth="1"/>
    <col min="1029" max="1030" width="9.80859375" style="28" bestFit="1" customWidth="1"/>
    <col min="1031" max="1031" width="13.5703125" style="28" bestFit="1" customWidth="1"/>
    <col min="1032" max="1280" width="8.80859375" style="28"/>
    <col min="1281" max="1281" width="58.80859375" style="28" customWidth="1"/>
    <col min="1282" max="1284" width="11.7109375" style="28" customWidth="1"/>
    <col min="1285" max="1286" width="9.80859375" style="28" bestFit="1" customWidth="1"/>
    <col min="1287" max="1287" width="13.5703125" style="28" bestFit="1" customWidth="1"/>
    <col min="1288" max="1536" width="8.80859375" style="28"/>
    <col min="1537" max="1537" width="58.80859375" style="28" customWidth="1"/>
    <col min="1538" max="1540" width="11.7109375" style="28" customWidth="1"/>
    <col min="1541" max="1542" width="9.80859375" style="28" bestFit="1" customWidth="1"/>
    <col min="1543" max="1543" width="13.5703125" style="28" bestFit="1" customWidth="1"/>
    <col min="1544" max="1792" width="8.80859375" style="28"/>
    <col min="1793" max="1793" width="58.80859375" style="28" customWidth="1"/>
    <col min="1794" max="1796" width="11.7109375" style="28" customWidth="1"/>
    <col min="1797" max="1798" width="9.80859375" style="28" bestFit="1" customWidth="1"/>
    <col min="1799" max="1799" width="13.5703125" style="28" bestFit="1" customWidth="1"/>
    <col min="1800" max="2048" width="8.80859375" style="28"/>
    <col min="2049" max="2049" width="58.80859375" style="28" customWidth="1"/>
    <col min="2050" max="2052" width="11.7109375" style="28" customWidth="1"/>
    <col min="2053" max="2054" width="9.80859375" style="28" bestFit="1" customWidth="1"/>
    <col min="2055" max="2055" width="13.5703125" style="28" bestFit="1" customWidth="1"/>
    <col min="2056" max="2304" width="8.80859375" style="28"/>
    <col min="2305" max="2305" width="58.80859375" style="28" customWidth="1"/>
    <col min="2306" max="2308" width="11.7109375" style="28" customWidth="1"/>
    <col min="2309" max="2310" width="9.80859375" style="28" bestFit="1" customWidth="1"/>
    <col min="2311" max="2311" width="13.5703125" style="28" bestFit="1" customWidth="1"/>
    <col min="2312" max="2560" width="8.80859375" style="28"/>
    <col min="2561" max="2561" width="58.80859375" style="28" customWidth="1"/>
    <col min="2562" max="2564" width="11.7109375" style="28" customWidth="1"/>
    <col min="2565" max="2566" width="9.80859375" style="28" bestFit="1" customWidth="1"/>
    <col min="2567" max="2567" width="13.5703125" style="28" bestFit="1" customWidth="1"/>
    <col min="2568" max="2816" width="8.80859375" style="28"/>
    <col min="2817" max="2817" width="58.80859375" style="28" customWidth="1"/>
    <col min="2818" max="2820" width="11.7109375" style="28" customWidth="1"/>
    <col min="2821" max="2822" width="9.80859375" style="28" bestFit="1" customWidth="1"/>
    <col min="2823" max="2823" width="13.5703125" style="28" bestFit="1" customWidth="1"/>
    <col min="2824" max="3072" width="8.80859375" style="28"/>
    <col min="3073" max="3073" width="58.80859375" style="28" customWidth="1"/>
    <col min="3074" max="3076" width="11.7109375" style="28" customWidth="1"/>
    <col min="3077" max="3078" width="9.80859375" style="28" bestFit="1" customWidth="1"/>
    <col min="3079" max="3079" width="13.5703125" style="28" bestFit="1" customWidth="1"/>
    <col min="3080" max="3328" width="8.80859375" style="28"/>
    <col min="3329" max="3329" width="58.80859375" style="28" customWidth="1"/>
    <col min="3330" max="3332" width="11.7109375" style="28" customWidth="1"/>
    <col min="3333" max="3334" width="9.80859375" style="28" bestFit="1" customWidth="1"/>
    <col min="3335" max="3335" width="13.5703125" style="28" bestFit="1" customWidth="1"/>
    <col min="3336" max="3584" width="8.80859375" style="28"/>
    <col min="3585" max="3585" width="58.80859375" style="28" customWidth="1"/>
    <col min="3586" max="3588" width="11.7109375" style="28" customWidth="1"/>
    <col min="3589" max="3590" width="9.80859375" style="28" bestFit="1" customWidth="1"/>
    <col min="3591" max="3591" width="13.5703125" style="28" bestFit="1" customWidth="1"/>
    <col min="3592" max="3840" width="8.80859375" style="28"/>
    <col min="3841" max="3841" width="58.80859375" style="28" customWidth="1"/>
    <col min="3842" max="3844" width="11.7109375" style="28" customWidth="1"/>
    <col min="3845" max="3846" width="9.80859375" style="28" bestFit="1" customWidth="1"/>
    <col min="3847" max="3847" width="13.5703125" style="28" bestFit="1" customWidth="1"/>
    <col min="3848" max="4096" width="8.80859375" style="28"/>
    <col min="4097" max="4097" width="58.80859375" style="28" customWidth="1"/>
    <col min="4098" max="4100" width="11.7109375" style="28" customWidth="1"/>
    <col min="4101" max="4102" width="9.80859375" style="28" bestFit="1" customWidth="1"/>
    <col min="4103" max="4103" width="13.5703125" style="28" bestFit="1" customWidth="1"/>
    <col min="4104" max="4352" width="8.80859375" style="28"/>
    <col min="4353" max="4353" width="58.80859375" style="28" customWidth="1"/>
    <col min="4354" max="4356" width="11.7109375" style="28" customWidth="1"/>
    <col min="4357" max="4358" width="9.80859375" style="28" bestFit="1" customWidth="1"/>
    <col min="4359" max="4359" width="13.5703125" style="28" bestFit="1" customWidth="1"/>
    <col min="4360" max="4608" width="8.80859375" style="28"/>
    <col min="4609" max="4609" width="58.80859375" style="28" customWidth="1"/>
    <col min="4610" max="4612" width="11.7109375" style="28" customWidth="1"/>
    <col min="4613" max="4614" width="9.80859375" style="28" bestFit="1" customWidth="1"/>
    <col min="4615" max="4615" width="13.5703125" style="28" bestFit="1" customWidth="1"/>
    <col min="4616" max="4864" width="8.80859375" style="28"/>
    <col min="4865" max="4865" width="58.80859375" style="28" customWidth="1"/>
    <col min="4866" max="4868" width="11.7109375" style="28" customWidth="1"/>
    <col min="4869" max="4870" width="9.80859375" style="28" bestFit="1" customWidth="1"/>
    <col min="4871" max="4871" width="13.5703125" style="28" bestFit="1" customWidth="1"/>
    <col min="4872" max="5120" width="8.80859375" style="28"/>
    <col min="5121" max="5121" width="58.80859375" style="28" customWidth="1"/>
    <col min="5122" max="5124" width="11.7109375" style="28" customWidth="1"/>
    <col min="5125" max="5126" width="9.80859375" style="28" bestFit="1" customWidth="1"/>
    <col min="5127" max="5127" width="13.5703125" style="28" bestFit="1" customWidth="1"/>
    <col min="5128" max="5376" width="8.80859375" style="28"/>
    <col min="5377" max="5377" width="58.80859375" style="28" customWidth="1"/>
    <col min="5378" max="5380" width="11.7109375" style="28" customWidth="1"/>
    <col min="5381" max="5382" width="9.80859375" style="28" bestFit="1" customWidth="1"/>
    <col min="5383" max="5383" width="13.5703125" style="28" bestFit="1" customWidth="1"/>
    <col min="5384" max="5632" width="8.80859375" style="28"/>
    <col min="5633" max="5633" width="58.80859375" style="28" customWidth="1"/>
    <col min="5634" max="5636" width="11.7109375" style="28" customWidth="1"/>
    <col min="5637" max="5638" width="9.80859375" style="28" bestFit="1" customWidth="1"/>
    <col min="5639" max="5639" width="13.5703125" style="28" bestFit="1" customWidth="1"/>
    <col min="5640" max="5888" width="8.80859375" style="28"/>
    <col min="5889" max="5889" width="58.80859375" style="28" customWidth="1"/>
    <col min="5890" max="5892" width="11.7109375" style="28" customWidth="1"/>
    <col min="5893" max="5894" width="9.80859375" style="28" bestFit="1" customWidth="1"/>
    <col min="5895" max="5895" width="13.5703125" style="28" bestFit="1" customWidth="1"/>
    <col min="5896" max="6144" width="8.80859375" style="28"/>
    <col min="6145" max="6145" width="58.80859375" style="28" customWidth="1"/>
    <col min="6146" max="6148" width="11.7109375" style="28" customWidth="1"/>
    <col min="6149" max="6150" width="9.80859375" style="28" bestFit="1" customWidth="1"/>
    <col min="6151" max="6151" width="13.5703125" style="28" bestFit="1" customWidth="1"/>
    <col min="6152" max="6400" width="8.80859375" style="28"/>
    <col min="6401" max="6401" width="58.80859375" style="28" customWidth="1"/>
    <col min="6402" max="6404" width="11.7109375" style="28" customWidth="1"/>
    <col min="6405" max="6406" width="9.80859375" style="28" bestFit="1" customWidth="1"/>
    <col min="6407" max="6407" width="13.5703125" style="28" bestFit="1" customWidth="1"/>
    <col min="6408" max="6656" width="8.80859375" style="28"/>
    <col min="6657" max="6657" width="58.80859375" style="28" customWidth="1"/>
    <col min="6658" max="6660" width="11.7109375" style="28" customWidth="1"/>
    <col min="6661" max="6662" width="9.80859375" style="28" bestFit="1" customWidth="1"/>
    <col min="6663" max="6663" width="13.5703125" style="28" bestFit="1" customWidth="1"/>
    <col min="6664" max="6912" width="8.80859375" style="28"/>
    <col min="6913" max="6913" width="58.80859375" style="28" customWidth="1"/>
    <col min="6914" max="6916" width="11.7109375" style="28" customWidth="1"/>
    <col min="6917" max="6918" width="9.80859375" style="28" bestFit="1" customWidth="1"/>
    <col min="6919" max="6919" width="13.5703125" style="28" bestFit="1" customWidth="1"/>
    <col min="6920" max="7168" width="8.80859375" style="28"/>
    <col min="7169" max="7169" width="58.80859375" style="28" customWidth="1"/>
    <col min="7170" max="7172" width="11.7109375" style="28" customWidth="1"/>
    <col min="7173" max="7174" width="9.80859375" style="28" bestFit="1" customWidth="1"/>
    <col min="7175" max="7175" width="13.5703125" style="28" bestFit="1" customWidth="1"/>
    <col min="7176" max="7424" width="8.80859375" style="28"/>
    <col min="7425" max="7425" width="58.80859375" style="28" customWidth="1"/>
    <col min="7426" max="7428" width="11.7109375" style="28" customWidth="1"/>
    <col min="7429" max="7430" width="9.80859375" style="28" bestFit="1" customWidth="1"/>
    <col min="7431" max="7431" width="13.5703125" style="28" bestFit="1" customWidth="1"/>
    <col min="7432" max="7680" width="8.80859375" style="28"/>
    <col min="7681" max="7681" width="58.80859375" style="28" customWidth="1"/>
    <col min="7682" max="7684" width="11.7109375" style="28" customWidth="1"/>
    <col min="7685" max="7686" width="9.80859375" style="28" bestFit="1" customWidth="1"/>
    <col min="7687" max="7687" width="13.5703125" style="28" bestFit="1" customWidth="1"/>
    <col min="7688" max="7936" width="8.80859375" style="28"/>
    <col min="7937" max="7937" width="58.80859375" style="28" customWidth="1"/>
    <col min="7938" max="7940" width="11.7109375" style="28" customWidth="1"/>
    <col min="7941" max="7942" width="9.80859375" style="28" bestFit="1" customWidth="1"/>
    <col min="7943" max="7943" width="13.5703125" style="28" bestFit="1" customWidth="1"/>
    <col min="7944" max="8192" width="8.80859375" style="28"/>
    <col min="8193" max="8193" width="58.80859375" style="28" customWidth="1"/>
    <col min="8194" max="8196" width="11.7109375" style="28" customWidth="1"/>
    <col min="8197" max="8198" width="9.80859375" style="28" bestFit="1" customWidth="1"/>
    <col min="8199" max="8199" width="13.5703125" style="28" bestFit="1" customWidth="1"/>
    <col min="8200" max="8448" width="8.80859375" style="28"/>
    <col min="8449" max="8449" width="58.80859375" style="28" customWidth="1"/>
    <col min="8450" max="8452" width="11.7109375" style="28" customWidth="1"/>
    <col min="8453" max="8454" width="9.80859375" style="28" bestFit="1" customWidth="1"/>
    <col min="8455" max="8455" width="13.5703125" style="28" bestFit="1" customWidth="1"/>
    <col min="8456" max="8704" width="8.80859375" style="28"/>
    <col min="8705" max="8705" width="58.80859375" style="28" customWidth="1"/>
    <col min="8706" max="8708" width="11.7109375" style="28" customWidth="1"/>
    <col min="8709" max="8710" width="9.80859375" style="28" bestFit="1" customWidth="1"/>
    <col min="8711" max="8711" width="13.5703125" style="28" bestFit="1" customWidth="1"/>
    <col min="8712" max="8960" width="8.80859375" style="28"/>
    <col min="8961" max="8961" width="58.80859375" style="28" customWidth="1"/>
    <col min="8962" max="8964" width="11.7109375" style="28" customWidth="1"/>
    <col min="8965" max="8966" width="9.80859375" style="28" bestFit="1" customWidth="1"/>
    <col min="8967" max="8967" width="13.5703125" style="28" bestFit="1" customWidth="1"/>
    <col min="8968" max="9216" width="8.80859375" style="28"/>
    <col min="9217" max="9217" width="58.80859375" style="28" customWidth="1"/>
    <col min="9218" max="9220" width="11.7109375" style="28" customWidth="1"/>
    <col min="9221" max="9222" width="9.80859375" style="28" bestFit="1" customWidth="1"/>
    <col min="9223" max="9223" width="13.5703125" style="28" bestFit="1" customWidth="1"/>
    <col min="9224" max="9472" width="8.80859375" style="28"/>
    <col min="9473" max="9473" width="58.80859375" style="28" customWidth="1"/>
    <col min="9474" max="9476" width="11.7109375" style="28" customWidth="1"/>
    <col min="9477" max="9478" width="9.80859375" style="28" bestFit="1" customWidth="1"/>
    <col min="9479" max="9479" width="13.5703125" style="28" bestFit="1" customWidth="1"/>
    <col min="9480" max="9728" width="8.80859375" style="28"/>
    <col min="9729" max="9729" width="58.80859375" style="28" customWidth="1"/>
    <col min="9730" max="9732" width="11.7109375" style="28" customWidth="1"/>
    <col min="9733" max="9734" width="9.80859375" style="28" bestFit="1" customWidth="1"/>
    <col min="9735" max="9735" width="13.5703125" style="28" bestFit="1" customWidth="1"/>
    <col min="9736" max="9984" width="8.80859375" style="28"/>
    <col min="9985" max="9985" width="58.80859375" style="28" customWidth="1"/>
    <col min="9986" max="9988" width="11.7109375" style="28" customWidth="1"/>
    <col min="9989" max="9990" width="9.80859375" style="28" bestFit="1" customWidth="1"/>
    <col min="9991" max="9991" width="13.5703125" style="28" bestFit="1" customWidth="1"/>
    <col min="9992" max="10240" width="8.80859375" style="28"/>
    <col min="10241" max="10241" width="58.80859375" style="28" customWidth="1"/>
    <col min="10242" max="10244" width="11.7109375" style="28" customWidth="1"/>
    <col min="10245" max="10246" width="9.80859375" style="28" bestFit="1" customWidth="1"/>
    <col min="10247" max="10247" width="13.5703125" style="28" bestFit="1" customWidth="1"/>
    <col min="10248" max="10496" width="8.80859375" style="28"/>
    <col min="10497" max="10497" width="58.80859375" style="28" customWidth="1"/>
    <col min="10498" max="10500" width="11.7109375" style="28" customWidth="1"/>
    <col min="10501" max="10502" width="9.80859375" style="28" bestFit="1" customWidth="1"/>
    <col min="10503" max="10503" width="13.5703125" style="28" bestFit="1" customWidth="1"/>
    <col min="10504" max="10752" width="8.80859375" style="28"/>
    <col min="10753" max="10753" width="58.80859375" style="28" customWidth="1"/>
    <col min="10754" max="10756" width="11.7109375" style="28" customWidth="1"/>
    <col min="10757" max="10758" width="9.80859375" style="28" bestFit="1" customWidth="1"/>
    <col min="10759" max="10759" width="13.5703125" style="28" bestFit="1" customWidth="1"/>
    <col min="10760" max="11008" width="8.80859375" style="28"/>
    <col min="11009" max="11009" width="58.80859375" style="28" customWidth="1"/>
    <col min="11010" max="11012" width="11.7109375" style="28" customWidth="1"/>
    <col min="11013" max="11014" width="9.80859375" style="28" bestFit="1" customWidth="1"/>
    <col min="11015" max="11015" width="13.5703125" style="28" bestFit="1" customWidth="1"/>
    <col min="11016" max="11264" width="8.80859375" style="28"/>
    <col min="11265" max="11265" width="58.80859375" style="28" customWidth="1"/>
    <col min="11266" max="11268" width="11.7109375" style="28" customWidth="1"/>
    <col min="11269" max="11270" width="9.80859375" style="28" bestFit="1" customWidth="1"/>
    <col min="11271" max="11271" width="13.5703125" style="28" bestFit="1" customWidth="1"/>
    <col min="11272" max="11520" width="8.80859375" style="28"/>
    <col min="11521" max="11521" width="58.80859375" style="28" customWidth="1"/>
    <col min="11522" max="11524" width="11.7109375" style="28" customWidth="1"/>
    <col min="11525" max="11526" width="9.80859375" style="28" bestFit="1" customWidth="1"/>
    <col min="11527" max="11527" width="13.5703125" style="28" bestFit="1" customWidth="1"/>
    <col min="11528" max="11776" width="8.80859375" style="28"/>
    <col min="11777" max="11777" width="58.80859375" style="28" customWidth="1"/>
    <col min="11778" max="11780" width="11.7109375" style="28" customWidth="1"/>
    <col min="11781" max="11782" width="9.80859375" style="28" bestFit="1" customWidth="1"/>
    <col min="11783" max="11783" width="13.5703125" style="28" bestFit="1" customWidth="1"/>
    <col min="11784" max="12032" width="8.80859375" style="28"/>
    <col min="12033" max="12033" width="58.80859375" style="28" customWidth="1"/>
    <col min="12034" max="12036" width="11.7109375" style="28" customWidth="1"/>
    <col min="12037" max="12038" width="9.80859375" style="28" bestFit="1" customWidth="1"/>
    <col min="12039" max="12039" width="13.5703125" style="28" bestFit="1" customWidth="1"/>
    <col min="12040" max="12288" width="8.80859375" style="28"/>
    <col min="12289" max="12289" width="58.80859375" style="28" customWidth="1"/>
    <col min="12290" max="12292" width="11.7109375" style="28" customWidth="1"/>
    <col min="12293" max="12294" width="9.80859375" style="28" bestFit="1" customWidth="1"/>
    <col min="12295" max="12295" width="13.5703125" style="28" bestFit="1" customWidth="1"/>
    <col min="12296" max="12544" width="8.80859375" style="28"/>
    <col min="12545" max="12545" width="58.80859375" style="28" customWidth="1"/>
    <col min="12546" max="12548" width="11.7109375" style="28" customWidth="1"/>
    <col min="12549" max="12550" width="9.80859375" style="28" bestFit="1" customWidth="1"/>
    <col min="12551" max="12551" width="13.5703125" style="28" bestFit="1" customWidth="1"/>
    <col min="12552" max="12800" width="8.80859375" style="28"/>
    <col min="12801" max="12801" width="58.80859375" style="28" customWidth="1"/>
    <col min="12802" max="12804" width="11.7109375" style="28" customWidth="1"/>
    <col min="12805" max="12806" width="9.80859375" style="28" bestFit="1" customWidth="1"/>
    <col min="12807" max="12807" width="13.5703125" style="28" bestFit="1" customWidth="1"/>
    <col min="12808" max="13056" width="8.80859375" style="28"/>
    <col min="13057" max="13057" width="58.80859375" style="28" customWidth="1"/>
    <col min="13058" max="13060" width="11.7109375" style="28" customWidth="1"/>
    <col min="13061" max="13062" width="9.80859375" style="28" bestFit="1" customWidth="1"/>
    <col min="13063" max="13063" width="13.5703125" style="28" bestFit="1" customWidth="1"/>
    <col min="13064" max="13312" width="8.80859375" style="28"/>
    <col min="13313" max="13313" width="58.80859375" style="28" customWidth="1"/>
    <col min="13314" max="13316" width="11.7109375" style="28" customWidth="1"/>
    <col min="13317" max="13318" width="9.80859375" style="28" bestFit="1" customWidth="1"/>
    <col min="13319" max="13319" width="13.5703125" style="28" bestFit="1" customWidth="1"/>
    <col min="13320" max="13568" width="8.80859375" style="28"/>
    <col min="13569" max="13569" width="58.80859375" style="28" customWidth="1"/>
    <col min="13570" max="13572" width="11.7109375" style="28" customWidth="1"/>
    <col min="13573" max="13574" width="9.80859375" style="28" bestFit="1" customWidth="1"/>
    <col min="13575" max="13575" width="13.5703125" style="28" bestFit="1" customWidth="1"/>
    <col min="13576" max="13824" width="8.80859375" style="28"/>
    <col min="13825" max="13825" width="58.80859375" style="28" customWidth="1"/>
    <col min="13826" max="13828" width="11.7109375" style="28" customWidth="1"/>
    <col min="13829" max="13830" width="9.80859375" style="28" bestFit="1" customWidth="1"/>
    <col min="13831" max="13831" width="13.5703125" style="28" bestFit="1" customWidth="1"/>
    <col min="13832" max="14080" width="8.80859375" style="28"/>
    <col min="14081" max="14081" width="58.80859375" style="28" customWidth="1"/>
    <col min="14082" max="14084" width="11.7109375" style="28" customWidth="1"/>
    <col min="14085" max="14086" width="9.80859375" style="28" bestFit="1" customWidth="1"/>
    <col min="14087" max="14087" width="13.5703125" style="28" bestFit="1" customWidth="1"/>
    <col min="14088" max="14336" width="8.80859375" style="28"/>
    <col min="14337" max="14337" width="58.80859375" style="28" customWidth="1"/>
    <col min="14338" max="14340" width="11.7109375" style="28" customWidth="1"/>
    <col min="14341" max="14342" width="9.80859375" style="28" bestFit="1" customWidth="1"/>
    <col min="14343" max="14343" width="13.5703125" style="28" bestFit="1" customWidth="1"/>
    <col min="14344" max="14592" width="8.80859375" style="28"/>
    <col min="14593" max="14593" width="58.80859375" style="28" customWidth="1"/>
    <col min="14594" max="14596" width="11.7109375" style="28" customWidth="1"/>
    <col min="14597" max="14598" width="9.80859375" style="28" bestFit="1" customWidth="1"/>
    <col min="14599" max="14599" width="13.5703125" style="28" bestFit="1" customWidth="1"/>
    <col min="14600" max="14848" width="8.80859375" style="28"/>
    <col min="14849" max="14849" width="58.80859375" style="28" customWidth="1"/>
    <col min="14850" max="14852" width="11.7109375" style="28" customWidth="1"/>
    <col min="14853" max="14854" width="9.80859375" style="28" bestFit="1" customWidth="1"/>
    <col min="14855" max="14855" width="13.5703125" style="28" bestFit="1" customWidth="1"/>
    <col min="14856" max="15104" width="8.80859375" style="28"/>
    <col min="15105" max="15105" width="58.80859375" style="28" customWidth="1"/>
    <col min="15106" max="15108" width="11.7109375" style="28" customWidth="1"/>
    <col min="15109" max="15110" width="9.80859375" style="28" bestFit="1" customWidth="1"/>
    <col min="15111" max="15111" width="13.5703125" style="28" bestFit="1" customWidth="1"/>
    <col min="15112" max="15360" width="8.80859375" style="28"/>
    <col min="15361" max="15361" width="58.80859375" style="28" customWidth="1"/>
    <col min="15362" max="15364" width="11.7109375" style="28" customWidth="1"/>
    <col min="15365" max="15366" width="9.80859375" style="28" bestFit="1" customWidth="1"/>
    <col min="15367" max="15367" width="13.5703125" style="28" bestFit="1" customWidth="1"/>
    <col min="15368" max="15616" width="8.80859375" style="28"/>
    <col min="15617" max="15617" width="58.80859375" style="28" customWidth="1"/>
    <col min="15618" max="15620" width="11.7109375" style="28" customWidth="1"/>
    <col min="15621" max="15622" width="9.80859375" style="28" bestFit="1" customWidth="1"/>
    <col min="15623" max="15623" width="13.5703125" style="28" bestFit="1" customWidth="1"/>
    <col min="15624" max="15872" width="8.80859375" style="28"/>
    <col min="15873" max="15873" width="58.80859375" style="28" customWidth="1"/>
    <col min="15874" max="15876" width="11.7109375" style="28" customWidth="1"/>
    <col min="15877" max="15878" width="9.80859375" style="28" bestFit="1" customWidth="1"/>
    <col min="15879" max="15879" width="13.5703125" style="28" bestFit="1" customWidth="1"/>
    <col min="15880" max="16128" width="8.80859375" style="28"/>
    <col min="16129" max="16129" width="58.80859375" style="28" customWidth="1"/>
    <col min="16130" max="16132" width="11.7109375" style="28" customWidth="1"/>
    <col min="16133" max="16134" width="9.80859375" style="28" bestFit="1" customWidth="1"/>
    <col min="16135" max="16135" width="13.5703125" style="28" bestFit="1" customWidth="1"/>
    <col min="16136" max="16384" width="8.80859375" style="28"/>
  </cols>
  <sheetData>
    <row r="1" spans="1:7" ht="42.7" customHeight="1">
      <c r="A1" s="235" t="s">
        <v>126</v>
      </c>
      <c r="B1" s="235"/>
      <c r="C1" s="235"/>
      <c r="D1" s="235"/>
      <c r="E1" s="235"/>
      <c r="F1" s="235"/>
      <c r="G1" s="235"/>
    </row>
    <row r="2" spans="1:7" ht="12" customHeight="1">
      <c r="B2" s="36">
        <f>'Statement of CF, ABC corp'!B2</f>
        <v>2020</v>
      </c>
      <c r="C2" s="36">
        <f>'Statement of CF, ABC corp'!C2</f>
        <v>2021</v>
      </c>
      <c r="D2" s="36">
        <f>'Statement of CF, ABC corp'!D2</f>
        <v>2022</v>
      </c>
      <c r="E2" s="36">
        <f>'Statement of CF, ABC corp'!E2</f>
        <v>2023</v>
      </c>
      <c r="F2" s="36">
        <f>'Statement of CF, ABC corp'!F2</f>
        <v>2024</v>
      </c>
    </row>
    <row r="3" spans="1:7">
      <c r="A3" s="37" t="s">
        <v>85</v>
      </c>
      <c r="B3" s="38"/>
      <c r="C3" s="38"/>
    </row>
    <row r="4" spans="1:7">
      <c r="A4" s="35" t="s">
        <v>86</v>
      </c>
      <c r="B4" s="124">
        <f>'Statement of CF, ABC corp'!B4</f>
        <v>479355</v>
      </c>
      <c r="C4" s="124">
        <f>'Statement of CF, ABC corp'!C4</f>
        <v>495597</v>
      </c>
      <c r="D4" s="124">
        <f>'Statement of CF, ABC corp'!D4</f>
        <v>500134</v>
      </c>
      <c r="E4" s="124">
        <f>'Statement of CF, ABC corp'!E4</f>
        <v>505856</v>
      </c>
      <c r="F4" s="124">
        <f>'Statement of CF, ABC corp'!F4</f>
        <v>520273</v>
      </c>
    </row>
    <row r="5" spans="1:7" ht="24.6">
      <c r="A5" s="42" t="s">
        <v>87</v>
      </c>
      <c r="B5" s="124"/>
      <c r="C5" s="124"/>
      <c r="D5" s="125"/>
      <c r="E5" s="126"/>
      <c r="F5" s="126"/>
    </row>
    <row r="6" spans="1:7">
      <c r="A6" s="45" t="s">
        <v>88</v>
      </c>
      <c r="B6" s="124">
        <f>'Statement of CF, ABC corp'!B6</f>
        <v>41583</v>
      </c>
      <c r="C6" s="124">
        <f>'Statement of CF, ABC corp'!C6</f>
        <v>45486</v>
      </c>
      <c r="D6" s="124">
        <f>'Statement of CF, ABC corp'!D6</f>
        <v>46438</v>
      </c>
      <c r="E6" s="124">
        <f>'Statement of CF, ABC corp'!E6</f>
        <v>46542</v>
      </c>
      <c r="F6" s="124">
        <f>'Statement of CF, ABC corp'!F6</f>
        <v>46622</v>
      </c>
    </row>
    <row r="7" spans="1:7">
      <c r="A7" s="45" t="s">
        <v>89</v>
      </c>
      <c r="B7" s="124"/>
      <c r="C7" s="124"/>
      <c r="D7" s="124"/>
      <c r="E7" s="124"/>
      <c r="F7" s="124"/>
    </row>
    <row r="8" spans="1:7">
      <c r="A8" s="46" t="s">
        <v>90</v>
      </c>
      <c r="B8" s="124">
        <f>'Statement of CF, ABC corp'!B8</f>
        <v>9387</v>
      </c>
      <c r="C8" s="124">
        <f>'Statement of CF, ABC corp'!C8</f>
        <v>25951</v>
      </c>
      <c r="D8" s="124">
        <f>'Statement of CF, ABC corp'!D8</f>
        <v>-12724</v>
      </c>
      <c r="E8" s="124">
        <f>'Statement of CF, ABC corp'!E8</f>
        <v>1685</v>
      </c>
      <c r="F8" s="124">
        <f>'Statement of CF, ABC corp'!F8</f>
        <v>-2153</v>
      </c>
    </row>
    <row r="9" spans="1:7">
      <c r="A9" s="46" t="s">
        <v>91</v>
      </c>
      <c r="B9" s="124">
        <f>'Statement of CF, ABC corp'!B9</f>
        <v>-37630</v>
      </c>
      <c r="C9" s="124">
        <f>'Statement of CF, ABC corp'!C9</f>
        <v>-22780</v>
      </c>
      <c r="D9" s="124">
        <f>'Statement of CF, ABC corp'!D9</f>
        <v>-16247</v>
      </c>
      <c r="E9" s="124">
        <f>'Statement of CF, ABC corp'!E9</f>
        <v>-15780</v>
      </c>
      <c r="F9" s="124">
        <f>'Statement of CF, ABC corp'!F9</f>
        <v>-5517</v>
      </c>
    </row>
    <row r="10" spans="1:7" ht="27" customHeight="1">
      <c r="A10" s="46" t="s">
        <v>92</v>
      </c>
      <c r="B10" s="124">
        <f>'Statement of CF, ABC corp'!B10</f>
        <v>-52191</v>
      </c>
      <c r="C10" s="124">
        <f>'Statement of CF, ABC corp'!C10</f>
        <v>13573</v>
      </c>
      <c r="D10" s="124">
        <f>'Statement of CF, ABC corp'!D10</f>
        <v>16255</v>
      </c>
      <c r="E10" s="124">
        <f>'Statement of CF, ABC corp'!E10</f>
        <v>14703</v>
      </c>
      <c r="F10" s="124">
        <f>'Statement of CF, ABC corp'!F10</f>
        <v>-2975</v>
      </c>
    </row>
    <row r="11" spans="1:7" ht="28.9" customHeight="1">
      <c r="A11" s="46" t="s">
        <v>93</v>
      </c>
      <c r="B11" s="124">
        <f>'Statement of CF, ABC corp'!B11</f>
        <v>29612</v>
      </c>
      <c r="C11" s="124">
        <f>'Statement of CF, ABC corp'!C11</f>
        <v>17421</v>
      </c>
      <c r="D11" s="124">
        <f>'Statement of CF, ABC corp'!D11</f>
        <v>42314</v>
      </c>
      <c r="E11" s="124">
        <f>'Statement of CF, ABC corp'!E11</f>
        <v>40541</v>
      </c>
      <c r="F11" s="124">
        <f>'Statement of CF, ABC corp'!F11</f>
        <v>60255</v>
      </c>
    </row>
    <row r="12" spans="1:7" ht="13.95" customHeight="1">
      <c r="A12" s="47" t="s">
        <v>94</v>
      </c>
      <c r="B12" s="48">
        <f>SUM(B4:B11)</f>
        <v>470116</v>
      </c>
      <c r="C12" s="48">
        <f t="shared" ref="C12:F12" si="0">SUM(C4:C11)</f>
        <v>575248</v>
      </c>
      <c r="D12" s="48">
        <f t="shared" si="0"/>
        <v>576170</v>
      </c>
      <c r="E12" s="48">
        <f t="shared" si="0"/>
        <v>593547</v>
      </c>
      <c r="F12" s="48">
        <f t="shared" si="0"/>
        <v>616505</v>
      </c>
      <c r="G12" s="28" t="str">
        <f ca="1">getformula(F12)</f>
        <v>&lt;--  =SUM(F4:F11)</v>
      </c>
    </row>
    <row r="13" spans="1:7" ht="13.95" customHeight="1">
      <c r="B13" s="124"/>
      <c r="C13" s="124"/>
      <c r="D13" s="126"/>
      <c r="E13" s="126"/>
      <c r="F13" s="126"/>
    </row>
    <row r="14" spans="1:7" ht="13.95" customHeight="1">
      <c r="A14" s="37" t="s">
        <v>95</v>
      </c>
      <c r="B14" s="124"/>
      <c r="C14" s="124"/>
      <c r="D14" s="126"/>
      <c r="E14" s="126"/>
      <c r="F14" s="126"/>
    </row>
    <row r="15" spans="1:7" ht="13.95" customHeight="1">
      <c r="A15" s="35" t="s">
        <v>96</v>
      </c>
      <c r="B15" s="127"/>
      <c r="C15" s="127"/>
      <c r="D15" s="128"/>
      <c r="E15" s="128"/>
      <c r="F15" s="128"/>
    </row>
    <row r="16" spans="1:7" ht="13.95" customHeight="1">
      <c r="A16" s="35" t="s">
        <v>97</v>
      </c>
      <c r="B16" s="124">
        <f>'Statement of CF, ABC corp'!B16</f>
        <v>-48944</v>
      </c>
      <c r="C16" s="124">
        <f>'Statement of CF, ABC corp'!C16</f>
        <v>-70326</v>
      </c>
      <c r="D16" s="124">
        <f>'Statement of CF, ABC corp'!D16</f>
        <v>-89947</v>
      </c>
      <c r="E16" s="124">
        <f>'Statement of CF, ABC corp'!E16</f>
        <v>-37044</v>
      </c>
      <c r="F16" s="124">
        <f>'Statement of CF, ABC corp'!F16</f>
        <v>-88426</v>
      </c>
    </row>
    <row r="17" spans="1:7" ht="27.7" customHeight="1">
      <c r="A17" s="42" t="s">
        <v>98</v>
      </c>
      <c r="B17" s="124">
        <f>'Statement of CF, ABC corp'!B17</f>
        <v>197</v>
      </c>
      <c r="C17" s="124">
        <f>'Statement of CF, ABC corp'!C17</f>
        <v>6956</v>
      </c>
      <c r="D17" s="124">
        <f>'Statement of CF, ABC corp'!D17</f>
        <v>22942</v>
      </c>
      <c r="E17" s="124">
        <f>'Statement of CF, ABC corp'!E17</f>
        <v>6179</v>
      </c>
      <c r="F17" s="124">
        <f>'Statement of CF, ABC corp'!F17</f>
        <v>28693</v>
      </c>
    </row>
    <row r="18" spans="1:7" ht="13.95" customHeight="1">
      <c r="A18" s="37" t="s">
        <v>99</v>
      </c>
      <c r="B18" s="129">
        <f>SUM(B16:B17)</f>
        <v>-48747</v>
      </c>
      <c r="C18" s="129">
        <f t="shared" ref="C18:F18" si="1">SUM(C16:C17)</f>
        <v>-63370</v>
      </c>
      <c r="D18" s="129">
        <f t="shared" si="1"/>
        <v>-67005</v>
      </c>
      <c r="E18" s="129">
        <f t="shared" si="1"/>
        <v>-30865</v>
      </c>
      <c r="F18" s="129">
        <f t="shared" si="1"/>
        <v>-59733</v>
      </c>
      <c r="G18" s="28" t="str">
        <f ca="1">getformula(F18)</f>
        <v>&lt;--  =SUM(F16:F17)</v>
      </c>
    </row>
    <row r="19" spans="1:7" ht="13.95" customHeight="1">
      <c r="B19" s="125"/>
      <c r="C19" s="125"/>
      <c r="D19" s="126"/>
      <c r="E19" s="126"/>
      <c r="F19" s="126"/>
    </row>
    <row r="20" spans="1:7" ht="13.95" customHeight="1">
      <c r="A20" s="37" t="s">
        <v>100</v>
      </c>
      <c r="B20" s="124"/>
      <c r="C20" s="124"/>
      <c r="D20" s="126"/>
      <c r="E20" s="126"/>
      <c r="F20" s="126"/>
    </row>
    <row r="21" spans="1:7" ht="13.95" customHeight="1">
      <c r="A21" s="35" t="s">
        <v>101</v>
      </c>
      <c r="B21" s="127"/>
      <c r="C21" s="127"/>
      <c r="D21" s="128"/>
      <c r="E21" s="128"/>
      <c r="F21" s="128"/>
    </row>
    <row r="22" spans="1:7" ht="13.95" customHeight="1">
      <c r="A22" s="35" t="s">
        <v>102</v>
      </c>
      <c r="B22" s="127"/>
      <c r="C22" s="127"/>
      <c r="D22" s="128"/>
      <c r="E22" s="128"/>
      <c r="F22" s="128"/>
    </row>
    <row r="23" spans="1:7" ht="13.95" customHeight="1">
      <c r="A23" s="35" t="s">
        <v>103</v>
      </c>
      <c r="B23" s="127"/>
      <c r="C23" s="127"/>
      <c r="D23" s="128"/>
      <c r="E23" s="128"/>
      <c r="F23" s="128"/>
    </row>
    <row r="24" spans="1:7" ht="13.95" customHeight="1">
      <c r="A24" s="35" t="s">
        <v>38</v>
      </c>
      <c r="B24" s="127"/>
      <c r="C24" s="127"/>
      <c r="D24" s="128"/>
      <c r="E24" s="128"/>
      <c r="F24" s="128"/>
    </row>
    <row r="25" spans="1:7" ht="13.95" customHeight="1">
      <c r="A25" s="35" t="s">
        <v>104</v>
      </c>
      <c r="B25" s="127"/>
      <c r="C25" s="127"/>
      <c r="D25" s="128"/>
      <c r="E25" s="130"/>
      <c r="F25" s="130"/>
    </row>
    <row r="26" spans="1:7" ht="13.95" customHeight="1">
      <c r="A26" s="37" t="s">
        <v>105</v>
      </c>
      <c r="B26" s="60"/>
      <c r="C26" s="60"/>
      <c r="D26" s="60"/>
      <c r="E26" s="60"/>
      <c r="F26" s="60"/>
    </row>
    <row r="27" spans="1:7">
      <c r="B27" s="131"/>
      <c r="C27" s="131"/>
      <c r="D27" s="131"/>
      <c r="E27" s="131"/>
      <c r="F27" s="131"/>
    </row>
    <row r="28" spans="1:7">
      <c r="A28" s="37" t="s">
        <v>116</v>
      </c>
      <c r="B28" s="132">
        <f>B12+B18+B26</f>
        <v>421369</v>
      </c>
      <c r="C28" s="132">
        <f>C12+C18+C26</f>
        <v>511878</v>
      </c>
      <c r="D28" s="132">
        <f>D12+D18+D26</f>
        <v>509165</v>
      </c>
      <c r="E28" s="132">
        <f>E12+E18+E26</f>
        <v>562682</v>
      </c>
      <c r="F28" s="132">
        <f>F12+F18+F26</f>
        <v>556772</v>
      </c>
      <c r="G28" s="28" t="str">
        <f ca="1">getformula(F28)</f>
        <v>&lt;--  =F12+F18+F26</v>
      </c>
    </row>
    <row r="29" spans="1:7">
      <c r="A29" s="37" t="s">
        <v>117</v>
      </c>
      <c r="B29" s="132">
        <f>(1-B37)*B35</f>
        <v>59721.627921801235</v>
      </c>
      <c r="C29" s="132">
        <f t="shared" ref="C29:E29" si="2">(1-C37)*C35</f>
        <v>65980.255693334359</v>
      </c>
      <c r="D29" s="132">
        <f t="shared" si="2"/>
        <v>47793.577817539815</v>
      </c>
      <c r="E29" s="132">
        <f t="shared" si="2"/>
        <v>40232.957641536414</v>
      </c>
      <c r="F29" s="132">
        <f>(1-F37)*F35</f>
        <v>40220.625903174972</v>
      </c>
      <c r="G29" s="28" t="str">
        <f ca="1">getformula(F29)</f>
        <v>&lt;--  =(1-F37)*F35</v>
      </c>
    </row>
    <row r="30" spans="1:7">
      <c r="A30" s="61" t="s">
        <v>39</v>
      </c>
      <c r="B30" s="133">
        <f>B28+B29</f>
        <v>481090.62792180124</v>
      </c>
      <c r="C30" s="133">
        <f t="shared" ref="C30:F30" si="3">C28+C29</f>
        <v>577858.25569333439</v>
      </c>
      <c r="D30" s="133">
        <f t="shared" si="3"/>
        <v>556958.5778175398</v>
      </c>
      <c r="E30" s="133">
        <f t="shared" si="3"/>
        <v>602914.95764153637</v>
      </c>
      <c r="F30" s="133">
        <f t="shared" si="3"/>
        <v>596992.62590317498</v>
      </c>
      <c r="G30" s="28" t="str">
        <f ca="1">getformula(F30)</f>
        <v>&lt;--  =F28+F29</v>
      </c>
    </row>
    <row r="31" spans="1:7">
      <c r="A31" s="37"/>
      <c r="B31" s="132"/>
      <c r="C31" s="132"/>
      <c r="D31" s="132"/>
      <c r="E31" s="132"/>
      <c r="F31" s="132"/>
    </row>
    <row r="32" spans="1:7">
      <c r="A32" s="52" t="s">
        <v>107</v>
      </c>
      <c r="B32" s="131"/>
      <c r="C32" s="131"/>
      <c r="D32" s="131"/>
      <c r="E32" s="131"/>
      <c r="F32" s="131"/>
    </row>
    <row r="33" spans="1:7">
      <c r="A33" s="35" t="s">
        <v>108</v>
      </c>
      <c r="B33" s="131"/>
      <c r="C33" s="131"/>
      <c r="D33" s="131"/>
      <c r="E33" s="131"/>
      <c r="F33" s="131"/>
    </row>
    <row r="34" spans="1:7">
      <c r="A34" s="53" t="s">
        <v>47</v>
      </c>
      <c r="B34" s="125">
        <f>'Statement of CF, ABC corp'!B32</f>
        <v>191282.25</v>
      </c>
      <c r="C34" s="125">
        <f>'Statement of CF, ABC corp'!C32</f>
        <v>131979</v>
      </c>
      <c r="D34" s="125">
        <f>'Statement of CF, ABC corp'!D32</f>
        <v>236051.25</v>
      </c>
      <c r="E34" s="125">
        <f>'Statement of CF, ABC corp'!E32</f>
        <v>212713.5</v>
      </c>
      <c r="F34" s="125">
        <f>'Statement of CF, ABC corp'!F32</f>
        <v>228820.5</v>
      </c>
    </row>
    <row r="35" spans="1:7">
      <c r="A35" s="53" t="s">
        <v>109</v>
      </c>
      <c r="B35" s="125">
        <f>'Statement of CF, ABC corp'!B33</f>
        <v>83553</v>
      </c>
      <c r="C35" s="125">
        <f>'Statement of CF, ABC corp'!C33</f>
        <v>83551</v>
      </c>
      <c r="D35" s="125">
        <f>'Statement of CF, ABC corp'!D33</f>
        <v>70351</v>
      </c>
      <c r="E35" s="125">
        <f>'Statement of CF, ABC corp'!E33</f>
        <v>57151</v>
      </c>
      <c r="F35" s="125">
        <f>'Statement of CF, ABC corp'!F33</f>
        <v>57910</v>
      </c>
    </row>
    <row r="36" spans="1:7">
      <c r="B36" s="131"/>
      <c r="C36" s="131"/>
      <c r="D36" s="131"/>
      <c r="E36" s="131"/>
      <c r="F36" s="131"/>
    </row>
    <row r="37" spans="1:7">
      <c r="A37" s="35" t="s">
        <v>110</v>
      </c>
      <c r="B37" s="134">
        <f>B34/(B4+B34)</f>
        <v>0.28522461285888906</v>
      </c>
      <c r="C37" s="134">
        <f>C34/(C4+C34)</f>
        <v>0.210299629048912</v>
      </c>
      <c r="D37" s="134">
        <f>D34/(D4+D34)</f>
        <v>0.32064110222257236</v>
      </c>
      <c r="E37" s="134">
        <f>E34/(E4+E34)</f>
        <v>0.29602355791610974</v>
      </c>
      <c r="F37" s="134">
        <f>F34/(F4+F34)</f>
        <v>0.30546320319159093</v>
      </c>
      <c r="G37" s="28" t="str">
        <f ca="1">getformula(F37)</f>
        <v>&lt;--  =F34/(F4+F34)</v>
      </c>
    </row>
  </sheetData>
  <mergeCells count="1">
    <mergeCell ref="A1:G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9"/>
  <dimension ref="A1:I69"/>
  <sheetViews>
    <sheetView tabSelected="1" topLeftCell="A52" workbookViewId="0">
      <selection activeCell="A69" sqref="A55:H69"/>
    </sheetView>
  </sheetViews>
  <sheetFormatPr defaultColWidth="8.80859375" defaultRowHeight="12.3"/>
  <cols>
    <col min="1" max="1" width="40.09375" style="20" customWidth="1"/>
    <col min="2" max="6" width="6.6640625" style="20" customWidth="1"/>
    <col min="7" max="7" width="7" style="20" bestFit="1" customWidth="1"/>
    <col min="8" max="8" width="22.37890625" style="20" bestFit="1" customWidth="1"/>
    <col min="9" max="9" width="8.42578125" style="20" customWidth="1"/>
    <col min="10" max="11" width="8.42578125" style="20" bestFit="1" customWidth="1"/>
    <col min="12" max="16384" width="8.80859375" style="20"/>
  </cols>
  <sheetData>
    <row r="1" spans="1:8" ht="17.7">
      <c r="A1" s="237" t="s">
        <v>355</v>
      </c>
      <c r="B1" s="237"/>
      <c r="C1" s="237"/>
      <c r="D1" s="237"/>
      <c r="E1" s="237"/>
      <c r="F1" s="237"/>
      <c r="G1" s="237"/>
      <c r="H1" s="237"/>
    </row>
    <row r="2" spans="1:8">
      <c r="A2" s="20" t="s">
        <v>84</v>
      </c>
      <c r="B2" s="23">
        <v>0.1</v>
      </c>
    </row>
    <row r="3" spans="1:8">
      <c r="A3" s="20" t="s">
        <v>83</v>
      </c>
      <c r="B3" s="23">
        <v>0.15</v>
      </c>
    </row>
    <row r="4" spans="1:8">
      <c r="A4" s="20" t="s">
        <v>82</v>
      </c>
      <c r="B4" s="23">
        <v>0.08</v>
      </c>
    </row>
    <row r="5" spans="1:8">
      <c r="A5" s="20" t="s">
        <v>81</v>
      </c>
      <c r="B5" s="23">
        <v>0.77</v>
      </c>
    </row>
    <row r="6" spans="1:8">
      <c r="A6" s="20" t="s">
        <v>80</v>
      </c>
      <c r="B6" s="23">
        <v>0.5</v>
      </c>
    </row>
    <row r="7" spans="1:8">
      <c r="A7" s="20" t="s">
        <v>40</v>
      </c>
      <c r="B7" s="23">
        <v>0.1</v>
      </c>
    </row>
    <row r="8" spans="1:8">
      <c r="A8" s="20" t="s">
        <v>79</v>
      </c>
      <c r="B8" s="23">
        <v>0.1</v>
      </c>
    </row>
    <row r="9" spans="1:8">
      <c r="A9" s="20" t="s">
        <v>78</v>
      </c>
      <c r="B9" s="23">
        <v>0.08</v>
      </c>
    </row>
    <row r="10" spans="1:8">
      <c r="A10" s="20" t="s">
        <v>19</v>
      </c>
      <c r="B10" s="23">
        <v>0.27</v>
      </c>
    </row>
    <row r="11" spans="1:8">
      <c r="A11" s="20" t="s">
        <v>77</v>
      </c>
      <c r="B11" s="23">
        <v>0.4</v>
      </c>
    </row>
    <row r="13" spans="1:8">
      <c r="A13" s="21" t="s">
        <v>76</v>
      </c>
    </row>
    <row r="14" spans="1:8" s="21" customFormat="1">
      <c r="A14" s="138" t="s">
        <v>12</v>
      </c>
      <c r="B14" s="139">
        <v>0</v>
      </c>
      <c r="C14" s="139">
        <v>1</v>
      </c>
      <c r="D14" s="139">
        <v>2</v>
      </c>
      <c r="E14" s="139">
        <v>3</v>
      </c>
      <c r="F14" s="139">
        <v>4</v>
      </c>
      <c r="G14" s="139">
        <v>5</v>
      </c>
    </row>
    <row r="15" spans="1:8" ht="13.8">
      <c r="A15" s="20" t="s">
        <v>75</v>
      </c>
      <c r="B15" s="33">
        <f>1000</f>
        <v>1000</v>
      </c>
      <c r="C15" s="33">
        <f>B15*(1+$B$2)</f>
        <v>1100</v>
      </c>
      <c r="D15" s="33">
        <f>C15*(1+$B$2)</f>
        <v>1210</v>
      </c>
      <c r="E15" s="33">
        <f>D15*(1+$B$2)</f>
        <v>1331</v>
      </c>
      <c r="F15" s="33">
        <f>E15*(1+$B$2)</f>
        <v>1464.1000000000001</v>
      </c>
      <c r="G15" s="33">
        <f>F15*(1+$B$2)</f>
        <v>1610.5100000000002</v>
      </c>
      <c r="H15" s="20" t="str">
        <f t="shared" ref="H15:H25" ca="1" si="0">"&lt;--"&amp;_xlfn.FORMULATEXT(G15)</f>
        <v>&lt;--=F15*(1+$B$2)</v>
      </c>
    </row>
    <row r="16" spans="1:8" ht="13.8">
      <c r="A16" s="20" t="s">
        <v>74</v>
      </c>
      <c r="B16" s="33">
        <f t="shared" ref="B16:G16" si="1">-B15*$B$6</f>
        <v>-500</v>
      </c>
      <c r="C16" s="33">
        <f t="shared" si="1"/>
        <v>-550</v>
      </c>
      <c r="D16" s="33">
        <f t="shared" si="1"/>
        <v>-605</v>
      </c>
      <c r="E16" s="33">
        <f t="shared" si="1"/>
        <v>-665.5</v>
      </c>
      <c r="F16" s="33">
        <f t="shared" si="1"/>
        <v>-732.05000000000007</v>
      </c>
      <c r="G16" s="33">
        <f t="shared" si="1"/>
        <v>-805.25500000000011</v>
      </c>
      <c r="H16" s="20" t="str">
        <f t="shared" ca="1" si="0"/>
        <v>&lt;--=-G15*$B$6</v>
      </c>
    </row>
    <row r="17" spans="1:9" s="21" customFormat="1" ht="14.1">
      <c r="A17" s="21" t="s">
        <v>186</v>
      </c>
      <c r="B17" s="141">
        <f>SUM(B15:B16)</f>
        <v>500</v>
      </c>
      <c r="C17" s="141">
        <f t="shared" ref="C17:G17" si="2">SUM(C15:C16)</f>
        <v>550</v>
      </c>
      <c r="D17" s="141">
        <f t="shared" si="2"/>
        <v>605</v>
      </c>
      <c r="E17" s="141">
        <f t="shared" si="2"/>
        <v>665.5</v>
      </c>
      <c r="F17" s="141">
        <f t="shared" si="2"/>
        <v>732.05000000000007</v>
      </c>
      <c r="G17" s="141">
        <f t="shared" si="2"/>
        <v>805.25500000000011</v>
      </c>
      <c r="H17" s="21" t="str">
        <f t="shared" ca="1" si="0"/>
        <v>&lt;--=SUM(G15:G16)</v>
      </c>
    </row>
    <row r="18" spans="1:9" ht="13.8">
      <c r="A18" s="20" t="s">
        <v>73</v>
      </c>
      <c r="B18" s="33">
        <f>-$B$8*B38</f>
        <v>-32</v>
      </c>
      <c r="C18" s="33">
        <f>-$B$8*(B38+C38)/2</f>
        <v>-32</v>
      </c>
      <c r="D18" s="33">
        <f>-$B$8*(C38+D38)/2</f>
        <v>-32</v>
      </c>
      <c r="E18" s="33">
        <f>-$B$8*(D38+E38)/2</f>
        <v>-32</v>
      </c>
      <c r="F18" s="33">
        <f>-$B$8*(E38+F38)/2</f>
        <v>-32</v>
      </c>
      <c r="G18" s="33">
        <f>-$B$8*(F38+G38)/2</f>
        <v>-32</v>
      </c>
      <c r="H18" s="20" t="str">
        <f t="shared" ca="1" si="0"/>
        <v>&lt;--=-$B$8*(F38+G38)/2</v>
      </c>
    </row>
    <row r="19" spans="1:9" ht="13.8">
      <c r="A19" s="20" t="s">
        <v>72</v>
      </c>
      <c r="B19" s="33">
        <f>$B$9*B29</f>
        <v>6.4</v>
      </c>
      <c r="C19" s="33">
        <f ca="1">$B$9*(B29+C29)/2</f>
        <v>20.05847715126918</v>
      </c>
      <c r="D19" s="33">
        <f ca="1">$B$9*(C29+D29)/2</f>
        <v>49.111342992994452</v>
      </c>
      <c r="E19" s="33">
        <f ca="1">$B$9*(D29+E29)/2</f>
        <v>81.805693474470402</v>
      </c>
      <c r="F19" s="33">
        <f ca="1">$B$9*(E29+F29)/2</f>
        <v>118.49587479335884</v>
      </c>
      <c r="G19" s="33">
        <f ca="1">$B$9*(F29+G29)/2</f>
        <v>159.56752252252028</v>
      </c>
      <c r="H19" s="20" t="str">
        <f t="shared" ca="1" si="0"/>
        <v>&lt;--=$B$9*(F29+G29)/2</v>
      </c>
    </row>
    <row r="20" spans="1:9" ht="13.8">
      <c r="A20" s="20" t="s">
        <v>71</v>
      </c>
      <c r="B20" s="33">
        <v>-100</v>
      </c>
      <c r="C20" s="33">
        <f ca="1">-$B$7*(C32+B32)/2</f>
        <v>-116.68421052631579</v>
      </c>
      <c r="D20" s="33">
        <f ca="1">-$B$7*(D32+C32)/2</f>
        <v>-137.47728531855955</v>
      </c>
      <c r="E20" s="33">
        <f ca="1">-$B$7*(E32+D32)/2</f>
        <v>-161.31015745735533</v>
      </c>
      <c r="F20" s="33">
        <f ca="1">-$B$7*(F32+E32)/2</f>
        <v>-188.58791087391907</v>
      </c>
      <c r="G20" s="33">
        <f ca="1">-$B$7*(G32+F32)/2</f>
        <v>-219.76678043959475</v>
      </c>
      <c r="H20" s="20" t="str">
        <f t="shared" ca="1" si="0"/>
        <v>&lt;--=-$B$7*(G32+F32)/2</v>
      </c>
    </row>
    <row r="21" spans="1:9" s="21" customFormat="1" ht="14.1">
      <c r="A21" s="21" t="s">
        <v>70</v>
      </c>
      <c r="B21" s="141">
        <f t="shared" ref="B21:G21" si="3">SUM(B15:B20)</f>
        <v>874.4</v>
      </c>
      <c r="C21" s="141">
        <f t="shared" ca="1" si="3"/>
        <v>971.37426662495341</v>
      </c>
      <c r="D21" s="141">
        <f t="shared" ca="1" si="3"/>
        <v>1089.6340576744349</v>
      </c>
      <c r="E21" s="141">
        <f t="shared" ca="1" si="3"/>
        <v>1219.4955360171152</v>
      </c>
      <c r="F21" s="141">
        <f t="shared" ca="1" si="3"/>
        <v>1362.0079639194398</v>
      </c>
      <c r="G21" s="141">
        <f t="shared" ca="1" si="3"/>
        <v>1518.3107420829256</v>
      </c>
      <c r="H21" s="21" t="str">
        <f t="shared" ca="1" si="0"/>
        <v>&lt;--=SUM(G15:G20)</v>
      </c>
    </row>
    <row r="22" spans="1:9" ht="13.8">
      <c r="A22" s="20" t="s">
        <v>69</v>
      </c>
      <c r="B22" s="33">
        <f t="shared" ref="B22:G22" si="4">-B21*$B$10</f>
        <v>-236.08800000000002</v>
      </c>
      <c r="C22" s="33">
        <f t="shared" ca="1" si="4"/>
        <v>-262.27105198873744</v>
      </c>
      <c r="D22" s="33">
        <f t="shared" ca="1" si="4"/>
        <v>-294.20119557209745</v>
      </c>
      <c r="E22" s="33">
        <f t="shared" ca="1" si="4"/>
        <v>-329.26379472462111</v>
      </c>
      <c r="F22" s="33">
        <f t="shared" ca="1" si="4"/>
        <v>-367.74215025824878</v>
      </c>
      <c r="G22" s="33">
        <f t="shared" ca="1" si="4"/>
        <v>-409.94390036238991</v>
      </c>
      <c r="H22" s="20" t="str">
        <f t="shared" ca="1" si="0"/>
        <v>&lt;--=-G21*$B$10</v>
      </c>
    </row>
    <row r="23" spans="1:9" s="21" customFormat="1" ht="14.4" thickBot="1">
      <c r="A23" s="142" t="s">
        <v>59</v>
      </c>
      <c r="B23" s="143">
        <f t="shared" ref="B23:G23" si="5">B22+B21</f>
        <v>638.3119999999999</v>
      </c>
      <c r="C23" s="143">
        <f t="shared" ca="1" si="5"/>
        <v>709.10321463621597</v>
      </c>
      <c r="D23" s="143">
        <f t="shared" ca="1" si="5"/>
        <v>795.43286210233737</v>
      </c>
      <c r="E23" s="143">
        <f t="shared" ca="1" si="5"/>
        <v>890.23174129249412</v>
      </c>
      <c r="F23" s="143">
        <f t="shared" ca="1" si="5"/>
        <v>994.26581366119103</v>
      </c>
      <c r="G23" s="143">
        <f t="shared" ca="1" si="5"/>
        <v>1108.3668417205356</v>
      </c>
      <c r="H23" s="21" t="str">
        <f t="shared" ca="1" si="0"/>
        <v>&lt;--=G22+G21</v>
      </c>
    </row>
    <row r="24" spans="1:9" ht="14.1" thickTop="1">
      <c r="A24" s="20" t="s">
        <v>68</v>
      </c>
      <c r="B24" s="33">
        <f>-B23*$B$11</f>
        <v>-255.32479999999998</v>
      </c>
      <c r="C24" s="33">
        <f ca="1">-$B$11*C23</f>
        <v>-283.6412858544864</v>
      </c>
      <c r="D24" s="33">
        <f ca="1">-$B$11*D23</f>
        <v>-318.17314484093498</v>
      </c>
      <c r="E24" s="33">
        <f ca="1">-$B$11*E23</f>
        <v>-356.09269651699765</v>
      </c>
      <c r="F24" s="33">
        <f ca="1">-$B$11*F23</f>
        <v>-397.70632546447644</v>
      </c>
      <c r="G24" s="33">
        <f ca="1">-$B$11*G23</f>
        <v>-443.34673668821426</v>
      </c>
      <c r="H24" s="20" t="str">
        <f t="shared" ca="1" si="0"/>
        <v>&lt;--=-$B$11*G23</v>
      </c>
    </row>
    <row r="25" spans="1:9" ht="13.8">
      <c r="A25" s="20" t="s">
        <v>5</v>
      </c>
      <c r="B25" s="33">
        <f t="shared" ref="B25:G25" si="6">B24+B23</f>
        <v>382.98719999999992</v>
      </c>
      <c r="C25" s="33">
        <f t="shared" ca="1" si="6"/>
        <v>425.46192878172957</v>
      </c>
      <c r="D25" s="33">
        <f t="shared" ca="1" si="6"/>
        <v>477.25971726140239</v>
      </c>
      <c r="E25" s="33">
        <f t="shared" ca="1" si="6"/>
        <v>534.13904477549647</v>
      </c>
      <c r="F25" s="33">
        <f t="shared" ca="1" si="6"/>
        <v>596.5594881967146</v>
      </c>
      <c r="G25" s="33">
        <f t="shared" ca="1" si="6"/>
        <v>665.02010503232134</v>
      </c>
      <c r="H25" s="20" t="str">
        <f t="shared" ca="1" si="0"/>
        <v>&lt;--=G24+G23</v>
      </c>
    </row>
    <row r="26" spans="1:9" ht="13.8">
      <c r="B26" s="33"/>
      <c r="C26" s="33"/>
      <c r="D26" s="33"/>
      <c r="E26" s="33"/>
      <c r="F26" s="33"/>
      <c r="G26" s="33"/>
    </row>
    <row r="27" spans="1:9" ht="13.8">
      <c r="A27" s="21" t="s">
        <v>67</v>
      </c>
      <c r="B27" s="33"/>
      <c r="C27" s="33"/>
      <c r="D27" s="33"/>
      <c r="E27" s="33"/>
      <c r="F27" s="33"/>
      <c r="G27" s="33"/>
    </row>
    <row r="28" spans="1:9" s="21" customFormat="1">
      <c r="A28" s="138" t="s">
        <v>12</v>
      </c>
      <c r="B28" s="139">
        <v>0</v>
      </c>
      <c r="C28" s="139">
        <v>1</v>
      </c>
      <c r="D28" s="139">
        <v>2</v>
      </c>
      <c r="E28" s="139">
        <v>3</v>
      </c>
      <c r="F28" s="139">
        <v>4</v>
      </c>
      <c r="G28" s="139">
        <v>5</v>
      </c>
    </row>
    <row r="29" spans="1:9" ht="13.8">
      <c r="A29" s="28" t="s">
        <v>66</v>
      </c>
      <c r="B29" s="33">
        <v>80</v>
      </c>
      <c r="C29" s="33">
        <f ca="1">C41-C30-C34</f>
        <v>421.46192878172951</v>
      </c>
      <c r="D29" s="33">
        <f ca="1">D41-D30-D34</f>
        <v>806.32164604313175</v>
      </c>
      <c r="E29" s="33">
        <f ca="1">E41-E30-E34</f>
        <v>1238.8206908186282</v>
      </c>
      <c r="F29" s="33">
        <f ca="1">F41-F30-F34</f>
        <v>1723.5761790153426</v>
      </c>
      <c r="G29" s="33">
        <f ca="1">G41-G30-G34</f>
        <v>2265.6118840476638</v>
      </c>
      <c r="H29" s="20" t="str">
        <f ca="1">"&lt;--"&amp;_xlfn.FORMULATEXT(G29)</f>
        <v>&lt;--=G41-G30-G34</v>
      </c>
      <c r="I29" s="34"/>
    </row>
    <row r="30" spans="1:9" ht="13.8">
      <c r="A30" s="20" t="s">
        <v>7</v>
      </c>
      <c r="B30" s="33">
        <f>$B$3*B15</f>
        <v>150</v>
      </c>
      <c r="C30" s="33">
        <f>C15*$B$3</f>
        <v>165</v>
      </c>
      <c r="D30" s="33">
        <f>D15*$B$3</f>
        <v>181.5</v>
      </c>
      <c r="E30" s="33">
        <f>E15*$B$3</f>
        <v>199.65</v>
      </c>
      <c r="F30" s="33">
        <f>F15*$B$3</f>
        <v>219.61500000000001</v>
      </c>
      <c r="G30" s="33">
        <f>G15*$B$3</f>
        <v>241.57650000000001</v>
      </c>
      <c r="H30" s="20" t="str">
        <f ca="1">"&lt;--"&amp;_xlfn.FORMULATEXT(G30)</f>
        <v>&lt;--=G15*$B$3</v>
      </c>
    </row>
    <row r="31" spans="1:9" ht="13.8">
      <c r="A31" s="20" t="s">
        <v>25</v>
      </c>
      <c r="B31" s="33"/>
      <c r="C31" s="33"/>
      <c r="D31" s="33"/>
      <c r="E31" s="33"/>
      <c r="F31" s="33"/>
      <c r="G31" s="33"/>
    </row>
    <row r="32" spans="1:9" ht="13.8">
      <c r="A32" s="20" t="s">
        <v>65</v>
      </c>
      <c r="B32" s="33">
        <f t="shared" ref="B32:G32" si="7">B34-B33</f>
        <v>1070</v>
      </c>
      <c r="C32" s="33">
        <f t="shared" ca="1" si="7"/>
        <v>1263.6842105263158</v>
      </c>
      <c r="D32" s="33">
        <f t="shared" ca="1" si="7"/>
        <v>1485.8614958448754</v>
      </c>
      <c r="E32" s="33">
        <f t="shared" ca="1" si="7"/>
        <v>1740.341653302231</v>
      </c>
      <c r="F32" s="33">
        <f t="shared" ca="1" si="7"/>
        <v>2031.4165641761501</v>
      </c>
      <c r="G32" s="33">
        <f t="shared" ca="1" si="7"/>
        <v>2363.9190446157445</v>
      </c>
      <c r="H32" s="20" t="str">
        <f ca="1">"&lt;--"&amp;_xlfn.FORMULATEXT(G32)</f>
        <v>&lt;--=G34-G33</v>
      </c>
    </row>
    <row r="33" spans="1:8" ht="13.8">
      <c r="A33" s="20" t="s">
        <v>64</v>
      </c>
      <c r="B33" s="33">
        <v>-300</v>
      </c>
      <c r="C33" s="33">
        <f ca="1">B33+C20</f>
        <v>-416.68421052631578</v>
      </c>
      <c r="D33" s="33">
        <f ca="1">C33+D20</f>
        <v>-554.16149584487539</v>
      </c>
      <c r="E33" s="33">
        <f ca="1">D33+E20</f>
        <v>-715.47165330223072</v>
      </c>
      <c r="F33" s="33">
        <f ca="1">E33+F20</f>
        <v>-904.05956417614982</v>
      </c>
      <c r="G33" s="33">
        <f ca="1">F33+G20</f>
        <v>-1123.8263446157446</v>
      </c>
      <c r="H33" s="20" t="str">
        <f ca="1">"&lt;--"&amp;_xlfn.FORMULATEXT(G33)</f>
        <v>&lt;--=F33+G20</v>
      </c>
    </row>
    <row r="34" spans="1:8" ht="13.8">
      <c r="A34" s="20" t="s">
        <v>63</v>
      </c>
      <c r="B34" s="33">
        <f t="shared" ref="B34:G34" si="8">B15*$B$5</f>
        <v>770</v>
      </c>
      <c r="C34" s="33">
        <f t="shared" si="8"/>
        <v>847</v>
      </c>
      <c r="D34" s="33">
        <f t="shared" si="8"/>
        <v>931.7</v>
      </c>
      <c r="E34" s="33">
        <f t="shared" si="8"/>
        <v>1024.8700000000001</v>
      </c>
      <c r="F34" s="33">
        <f t="shared" si="8"/>
        <v>1127.3570000000002</v>
      </c>
      <c r="G34" s="33">
        <f t="shared" si="8"/>
        <v>1240.0927000000001</v>
      </c>
      <c r="H34" s="20" t="str">
        <f ca="1">"&lt;--"&amp;_xlfn.FORMULATEXT(G34)</f>
        <v>&lt;--=G15*$B$5</v>
      </c>
    </row>
    <row r="35" spans="1:8" s="21" customFormat="1" ht="14.1">
      <c r="A35" s="21" t="s">
        <v>3</v>
      </c>
      <c r="B35" s="141">
        <f>B29+B30+B34</f>
        <v>1000</v>
      </c>
      <c r="C35" s="141">
        <f ca="1">C34+C30+C29</f>
        <v>1433.4619287817295</v>
      </c>
      <c r="D35" s="141">
        <f ca="1">D34+D30+D29</f>
        <v>1919.5216460431318</v>
      </c>
      <c r="E35" s="141">
        <f ca="1">E34+E30+E29</f>
        <v>2463.3406908186284</v>
      </c>
      <c r="F35" s="141">
        <f ca="1">F34+F30+F29</f>
        <v>3070.5481790153426</v>
      </c>
      <c r="G35" s="141">
        <f ca="1">G34+G30+G29</f>
        <v>3747.2810840476641</v>
      </c>
      <c r="H35" s="21" t="str">
        <f ca="1">"&lt;--"&amp;_xlfn.FORMULATEXT(G35)</f>
        <v>&lt;--=G34+G30+G29</v>
      </c>
    </row>
    <row r="36" spans="1:8" ht="13.8">
      <c r="B36" s="33"/>
      <c r="C36" s="33"/>
      <c r="D36" s="33"/>
      <c r="E36" s="33"/>
      <c r="F36" s="33"/>
      <c r="G36" s="33"/>
    </row>
    <row r="37" spans="1:8" ht="13.8">
      <c r="A37" s="20" t="s">
        <v>8</v>
      </c>
      <c r="B37" s="33">
        <f t="shared" ref="B37:G37" si="9">B15*$B$4</f>
        <v>80</v>
      </c>
      <c r="C37" s="33">
        <f t="shared" si="9"/>
        <v>88</v>
      </c>
      <c r="D37" s="33">
        <f t="shared" si="9"/>
        <v>96.8</v>
      </c>
      <c r="E37" s="33">
        <f t="shared" si="9"/>
        <v>106.48</v>
      </c>
      <c r="F37" s="33">
        <f t="shared" si="9"/>
        <v>117.12800000000001</v>
      </c>
      <c r="G37" s="33">
        <f t="shared" si="9"/>
        <v>128.84080000000003</v>
      </c>
      <c r="H37" s="20" t="str">
        <f ca="1">"&lt;--"&amp;_xlfn.FORMULATEXT(G37)</f>
        <v>&lt;--=G15*$B$4</v>
      </c>
    </row>
    <row r="38" spans="1:8" ht="13.8">
      <c r="A38" s="20" t="s">
        <v>62</v>
      </c>
      <c r="B38" s="33">
        <f>B35-B37-B39-B40</f>
        <v>320</v>
      </c>
      <c r="C38" s="33">
        <f t="shared" ref="C38:G39" si="10">B38</f>
        <v>320</v>
      </c>
      <c r="D38" s="33">
        <f t="shared" si="10"/>
        <v>320</v>
      </c>
      <c r="E38" s="33">
        <f t="shared" si="10"/>
        <v>320</v>
      </c>
      <c r="F38" s="33">
        <f t="shared" si="10"/>
        <v>320</v>
      </c>
      <c r="G38" s="33">
        <f t="shared" si="10"/>
        <v>320</v>
      </c>
      <c r="H38" s="20" t="str">
        <f ca="1">"&lt;--"&amp;_xlfn.FORMULATEXT(G38)</f>
        <v>&lt;--=F38</v>
      </c>
    </row>
    <row r="39" spans="1:8" ht="13.8">
      <c r="A39" s="20" t="s">
        <v>61</v>
      </c>
      <c r="B39" s="33">
        <v>450</v>
      </c>
      <c r="C39" s="33">
        <f t="shared" si="10"/>
        <v>450</v>
      </c>
      <c r="D39" s="33">
        <f t="shared" si="10"/>
        <v>450</v>
      </c>
      <c r="E39" s="33">
        <f t="shared" si="10"/>
        <v>450</v>
      </c>
      <c r="F39" s="33">
        <f t="shared" si="10"/>
        <v>450</v>
      </c>
      <c r="G39" s="33">
        <f t="shared" si="10"/>
        <v>450</v>
      </c>
      <c r="H39" s="20" t="str">
        <f ca="1">"&lt;--"&amp;_xlfn.FORMULATEXT(G39)</f>
        <v>&lt;--=F39</v>
      </c>
    </row>
    <row r="40" spans="1:8" ht="13.8">
      <c r="A40" s="20" t="s">
        <v>35</v>
      </c>
      <c r="B40" s="33">
        <v>150</v>
      </c>
      <c r="C40" s="33">
        <f ca="1">B40+C25</f>
        <v>575.46192878172951</v>
      </c>
      <c r="D40" s="33">
        <f ca="1">C40+D25</f>
        <v>1052.7216460431318</v>
      </c>
      <c r="E40" s="33">
        <f ca="1">D40+E25</f>
        <v>1586.8606908186284</v>
      </c>
      <c r="F40" s="33">
        <f ca="1">E40+F25</f>
        <v>2183.4201790153429</v>
      </c>
      <c r="G40" s="33">
        <f ca="1">F40+G25</f>
        <v>2848.4402840476641</v>
      </c>
      <c r="H40" s="20" t="str">
        <f ca="1">"&lt;--"&amp;_xlfn.FORMULATEXT(G40)</f>
        <v>&lt;--=F40+G25</v>
      </c>
    </row>
    <row r="41" spans="1:8" s="21" customFormat="1" ht="14.1">
      <c r="A41" s="21" t="s">
        <v>2</v>
      </c>
      <c r="B41" s="141">
        <f t="shared" ref="B41:G41" si="11">SUM(B37:B40)</f>
        <v>1000</v>
      </c>
      <c r="C41" s="141">
        <f t="shared" ca="1" si="11"/>
        <v>1433.4619287817295</v>
      </c>
      <c r="D41" s="141">
        <f t="shared" ca="1" si="11"/>
        <v>1919.5216460431318</v>
      </c>
      <c r="E41" s="141">
        <f t="shared" ca="1" si="11"/>
        <v>2463.3406908186284</v>
      </c>
      <c r="F41" s="141">
        <f t="shared" ca="1" si="11"/>
        <v>3070.5481790153431</v>
      </c>
      <c r="G41" s="141">
        <f t="shared" ca="1" si="11"/>
        <v>3747.2810840476641</v>
      </c>
      <c r="H41" s="21" t="str">
        <f ca="1">"&lt;--"&amp;_xlfn.FORMULATEXT(G41)</f>
        <v>&lt;--=SUM(G37:G40)</v>
      </c>
    </row>
    <row r="42" spans="1:8" s="28" customFormat="1">
      <c r="B42" s="32"/>
      <c r="C42" s="32"/>
      <c r="D42" s="32"/>
      <c r="E42" s="32"/>
      <c r="F42" s="32"/>
      <c r="G42" s="32"/>
    </row>
    <row r="43" spans="1:8" s="21" customFormat="1">
      <c r="A43" s="27" t="s">
        <v>60</v>
      </c>
      <c r="B43" s="26"/>
      <c r="C43" s="26"/>
      <c r="D43" s="26"/>
      <c r="E43" s="26"/>
      <c r="F43" s="26"/>
      <c r="G43" s="26"/>
    </row>
    <row r="44" spans="1:8" s="21" customFormat="1">
      <c r="A44" s="144" t="s">
        <v>12</v>
      </c>
      <c r="B44" s="145">
        <v>0</v>
      </c>
      <c r="C44" s="145">
        <v>1</v>
      </c>
      <c r="D44" s="145">
        <v>2</v>
      </c>
      <c r="E44" s="145">
        <v>3</v>
      </c>
      <c r="F44" s="145">
        <v>4</v>
      </c>
      <c r="G44" s="145">
        <v>5</v>
      </c>
    </row>
    <row r="45" spans="1:8">
      <c r="A45" s="25" t="s">
        <v>59</v>
      </c>
      <c r="B45" s="25"/>
      <c r="C45" s="25">
        <f ca="1">C23</f>
        <v>709.10321463621597</v>
      </c>
      <c r="D45" s="25">
        <f ca="1">D23</f>
        <v>795.43286210233737</v>
      </c>
      <c r="E45" s="25">
        <f ca="1">E23</f>
        <v>890.23174129249412</v>
      </c>
      <c r="F45" s="25">
        <f ca="1">F23</f>
        <v>994.26581366119103</v>
      </c>
      <c r="G45" s="25">
        <f ca="1">G23</f>
        <v>1108.3668417205356</v>
      </c>
      <c r="H45" s="20" t="str">
        <f t="shared" ref="H45:H52" ca="1" si="12">"&lt;--"&amp;_xlfn.FORMULATEXT(G45)</f>
        <v>&lt;--=G23</v>
      </c>
    </row>
    <row r="46" spans="1:8">
      <c r="A46" s="25" t="s">
        <v>58</v>
      </c>
      <c r="B46" s="25"/>
      <c r="C46" s="25">
        <f ca="1">-C20</f>
        <v>116.68421052631579</v>
      </c>
      <c r="D46" s="25">
        <f ca="1">-D20</f>
        <v>137.47728531855955</v>
      </c>
      <c r="E46" s="25">
        <f ca="1">-E20</f>
        <v>161.31015745735533</v>
      </c>
      <c r="F46" s="25">
        <f ca="1">-F20</f>
        <v>188.58791087391907</v>
      </c>
      <c r="G46" s="25">
        <f ca="1">-G20</f>
        <v>219.76678043959475</v>
      </c>
      <c r="H46" s="20" t="str">
        <f t="shared" ca="1" si="12"/>
        <v>&lt;--=-G20</v>
      </c>
    </row>
    <row r="47" spans="1:8">
      <c r="A47" s="25" t="s">
        <v>57</v>
      </c>
      <c r="B47" s="25"/>
      <c r="C47" s="25">
        <f>-(C30-B30)</f>
        <v>-15</v>
      </c>
      <c r="D47" s="25">
        <f>-(D30-C30)</f>
        <v>-16.5</v>
      </c>
      <c r="E47" s="25">
        <f>-(E30-D30)</f>
        <v>-18.150000000000006</v>
      </c>
      <c r="F47" s="25">
        <f>-(F30-E30)</f>
        <v>-19.965000000000003</v>
      </c>
      <c r="G47" s="25">
        <f>-(G30-F30)</f>
        <v>-21.961500000000001</v>
      </c>
      <c r="H47" s="20" t="str">
        <f t="shared" ca="1" si="12"/>
        <v>&lt;--=-(G30-F30)</v>
      </c>
    </row>
    <row r="48" spans="1:8">
      <c r="A48" s="25" t="s">
        <v>56</v>
      </c>
      <c r="B48" s="25"/>
      <c r="C48" s="25">
        <f>C37-B37</f>
        <v>8</v>
      </c>
      <c r="D48" s="25">
        <f>D37-C37</f>
        <v>8.7999999999999972</v>
      </c>
      <c r="E48" s="25">
        <f>E37-D37</f>
        <v>9.6800000000000068</v>
      </c>
      <c r="F48" s="25">
        <f>F37-E37</f>
        <v>10.64800000000001</v>
      </c>
      <c r="G48" s="25">
        <f>G37-F37</f>
        <v>11.712800000000016</v>
      </c>
      <c r="H48" s="20" t="str">
        <f t="shared" ca="1" si="12"/>
        <v>&lt;--=G37-F37</v>
      </c>
    </row>
    <row r="49" spans="1:8">
      <c r="A49" s="25" t="s">
        <v>55</v>
      </c>
      <c r="B49" s="25"/>
      <c r="C49" s="25">
        <f ca="1">-(C32-B32)</f>
        <v>-193.68421052631584</v>
      </c>
      <c r="D49" s="25">
        <f ca="1">-(D32-C32)</f>
        <v>-222.1772853185596</v>
      </c>
      <c r="E49" s="25">
        <f ca="1">-(E32-D32)</f>
        <v>-254.48015745735552</v>
      </c>
      <c r="F49" s="25">
        <f ca="1">-(F32-E32)</f>
        <v>-291.07491087391918</v>
      </c>
      <c r="G49" s="25">
        <f ca="1">-(G32-F32)</f>
        <v>-332.50248043959436</v>
      </c>
      <c r="H49" s="20" t="str">
        <f t="shared" ca="1" si="12"/>
        <v>&lt;--=-(G32-F32)</v>
      </c>
    </row>
    <row r="50" spans="1:8">
      <c r="A50" s="25" t="s">
        <v>54</v>
      </c>
      <c r="B50" s="25"/>
      <c r="C50" s="25">
        <f t="shared" ref="C50:G51" si="13">-(1-$B$10)*C18</f>
        <v>23.36</v>
      </c>
      <c r="D50" s="25">
        <f t="shared" si="13"/>
        <v>23.36</v>
      </c>
      <c r="E50" s="25">
        <f t="shared" si="13"/>
        <v>23.36</v>
      </c>
      <c r="F50" s="25">
        <f t="shared" si="13"/>
        <v>23.36</v>
      </c>
      <c r="G50" s="25">
        <f t="shared" si="13"/>
        <v>23.36</v>
      </c>
      <c r="H50" s="20" t="str">
        <f t="shared" ca="1" si="12"/>
        <v>&lt;--=-(1-$B$10)*G18</v>
      </c>
    </row>
    <row r="51" spans="1:8">
      <c r="A51" s="25" t="s">
        <v>356</v>
      </c>
      <c r="B51" s="25"/>
      <c r="C51" s="25">
        <f t="shared" ca="1" si="13"/>
        <v>-14.642688320426501</v>
      </c>
      <c r="D51" s="25">
        <f t="shared" ca="1" si="13"/>
        <v>-35.851280384885946</v>
      </c>
      <c r="E51" s="25">
        <f t="shared" ca="1" si="13"/>
        <v>-59.718156236363392</v>
      </c>
      <c r="F51" s="25">
        <f t="shared" ca="1" si="13"/>
        <v>-86.501988599151943</v>
      </c>
      <c r="G51" s="25">
        <f t="shared" ca="1" si="13"/>
        <v>-116.48429144143979</v>
      </c>
      <c r="H51" s="20" t="str">
        <f t="shared" ca="1" si="12"/>
        <v>&lt;--=-(1-$B$10)*G19</v>
      </c>
    </row>
    <row r="52" spans="1:8" ht="12.6" thickBot="1">
      <c r="A52" s="146" t="s">
        <v>53</v>
      </c>
      <c r="B52" s="146"/>
      <c r="C52" s="146">
        <f ca="1">SUM(C45:C51)</f>
        <v>633.82052631578949</v>
      </c>
      <c r="D52" s="146">
        <f ca="1">SUM(D45:D51)</f>
        <v>690.54158171745132</v>
      </c>
      <c r="E52" s="146">
        <f ca="1">SUM(E45:E51)</f>
        <v>752.23358505613055</v>
      </c>
      <c r="F52" s="146">
        <f ca="1">SUM(F45:F51)</f>
        <v>819.31982506203906</v>
      </c>
      <c r="G52" s="146">
        <f ca="1">SUM(G45:G51)</f>
        <v>892.25815027909641</v>
      </c>
      <c r="H52" s="21" t="str">
        <f t="shared" ca="1" si="12"/>
        <v>&lt;--=SUM(G45:G51)</v>
      </c>
    </row>
    <row r="55" spans="1:8" ht="17.7">
      <c r="A55" s="30" t="s">
        <v>52</v>
      </c>
    </row>
    <row r="56" spans="1:8" s="28" customFormat="1">
      <c r="A56" s="28" t="s">
        <v>51</v>
      </c>
      <c r="B56" s="147">
        <f>'CSCF valuation'!B5</f>
        <v>0.107</v>
      </c>
    </row>
    <row r="57" spans="1:8" s="28" customFormat="1">
      <c r="A57" s="28" t="s">
        <v>50</v>
      </c>
      <c r="B57" s="29">
        <v>0.05</v>
      </c>
    </row>
    <row r="58" spans="1:8">
      <c r="A58" s="28"/>
    </row>
    <row r="59" spans="1:8" s="21" customFormat="1">
      <c r="A59" s="144" t="s">
        <v>12</v>
      </c>
      <c r="B59" s="145">
        <v>0</v>
      </c>
      <c r="C59" s="145">
        <v>1</v>
      </c>
      <c r="D59" s="145">
        <v>2</v>
      </c>
      <c r="E59" s="145">
        <v>3</v>
      </c>
      <c r="F59" s="145">
        <v>4</v>
      </c>
      <c r="G59" s="145">
        <v>5</v>
      </c>
    </row>
    <row r="60" spans="1:8">
      <c r="A60" s="20" t="s">
        <v>13</v>
      </c>
      <c r="C60" s="25">
        <f ca="1">C52</f>
        <v>633.82052631578949</v>
      </c>
      <c r="D60" s="25">
        <f ca="1">D52</f>
        <v>690.54158171745132</v>
      </c>
      <c r="E60" s="25">
        <f ca="1">E52</f>
        <v>752.23358505613055</v>
      </c>
      <c r="F60" s="25">
        <f ca="1">F52</f>
        <v>819.31982506203906</v>
      </c>
      <c r="G60" s="22">
        <f ca="1">G52</f>
        <v>892.25815027909641</v>
      </c>
      <c r="H60" s="20" t="str">
        <f ca="1">"&lt;--"&amp;_xlfn.FORMULATEXT(G60)</f>
        <v>&lt;--=G52</v>
      </c>
    </row>
    <row r="61" spans="1:8">
      <c r="A61" s="20" t="s">
        <v>11</v>
      </c>
      <c r="G61" s="31">
        <f ca="1">G60*(1+B57)/(B56-B57)</f>
        <v>16436.334347246513</v>
      </c>
      <c r="H61" s="20" t="str">
        <f ca="1">getformula(G61)</f>
        <v>&lt;--  =G60*(1+B57)/(B56-B57)</v>
      </c>
    </row>
    <row r="62" spans="1:8" s="21" customFormat="1" ht="12.6" thickBot="1">
      <c r="A62" s="142" t="s">
        <v>41</v>
      </c>
      <c r="B62" s="142"/>
      <c r="C62" s="148">
        <f ca="1">C61+C60</f>
        <v>633.82052631578949</v>
      </c>
      <c r="D62" s="148">
        <f ca="1">D61+D60</f>
        <v>690.54158171745132</v>
      </c>
      <c r="E62" s="148">
        <f ca="1">E61+E60</f>
        <v>752.23358505613055</v>
      </c>
      <c r="F62" s="148">
        <f ca="1">F61+F60</f>
        <v>819.31982506203906</v>
      </c>
      <c r="G62" s="149">
        <f ca="1">G61+G60</f>
        <v>17328.592497525609</v>
      </c>
      <c r="H62" s="21" t="str">
        <f ca="1">"&lt;--"&amp;_xlfn.FORMULATEXT(G62)</f>
        <v>&lt;--=G61+G60</v>
      </c>
    </row>
    <row r="63" spans="1:8" ht="12.6" thickTop="1"/>
    <row r="64" spans="1:8">
      <c r="A64" s="20" t="str">
        <f>"Enterprise value, present value of row "&amp;ROW(A62)</f>
        <v>Enterprise value, present value of row 62</v>
      </c>
      <c r="B64" s="24">
        <f ca="1">NPV(B56,C62:G62)*(1+B56)^0.5</f>
        <v>13320.030305272845</v>
      </c>
      <c r="C64" s="20" t="str">
        <f t="shared" ref="C64:C69" ca="1" si="14">getformula(B64)</f>
        <v>&lt;--  =NPV(B56,C62:G62)*(1+B56)^0.5</v>
      </c>
    </row>
    <row r="65" spans="1:3">
      <c r="A65" s="20" t="s">
        <v>357</v>
      </c>
      <c r="B65" s="24">
        <f>B29</f>
        <v>80</v>
      </c>
      <c r="C65" s="20" t="str">
        <f t="shared" ca="1" si="14"/>
        <v>&lt;--  =B29</v>
      </c>
    </row>
    <row r="66" spans="1:3">
      <c r="A66" s="20" t="s">
        <v>49</v>
      </c>
      <c r="B66" s="24">
        <f ca="1">B65+B64</f>
        <v>13400.030305272845</v>
      </c>
      <c r="C66" s="20" t="str">
        <f t="shared" ca="1" si="14"/>
        <v>&lt;--  =B65+B64</v>
      </c>
    </row>
    <row r="67" spans="1:3">
      <c r="A67" s="20" t="s">
        <v>48</v>
      </c>
      <c r="B67" s="24">
        <f>-B38</f>
        <v>-320</v>
      </c>
      <c r="C67" s="20" t="str">
        <f t="shared" ca="1" si="14"/>
        <v>&lt;--  =-B38</v>
      </c>
    </row>
    <row r="68" spans="1:3">
      <c r="A68" s="20" t="s">
        <v>46</v>
      </c>
      <c r="B68" s="24">
        <f ca="1">B66+B67</f>
        <v>13080.030305272845</v>
      </c>
      <c r="C68" s="20" t="str">
        <f t="shared" ca="1" si="14"/>
        <v>&lt;--  =B66+B67</v>
      </c>
    </row>
    <row r="69" spans="1:3">
      <c r="A69" s="20" t="s">
        <v>118</v>
      </c>
      <c r="B69" s="62">
        <f ca="1">B68/100</f>
        <v>130.80030305272845</v>
      </c>
      <c r="C69" s="20" t="str">
        <f t="shared" ca="1" si="14"/>
        <v>&lt;--  =B68/100</v>
      </c>
    </row>
  </sheetData>
  <mergeCells count="1">
    <mergeCell ref="A1:H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3BA36B-ACFC-4D48-8C53-7B072F4EDF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Balance sheet</vt:lpstr>
      <vt:lpstr>Balance sheet categorized</vt:lpstr>
      <vt:lpstr>Operational balance sheet</vt:lpstr>
      <vt:lpstr>CAT balance sheet 2019</vt:lpstr>
      <vt:lpstr>CAT oper. balance sheet</vt:lpstr>
      <vt:lpstr>EV using eff. market approach</vt:lpstr>
      <vt:lpstr>Efficient approach to specific</vt:lpstr>
      <vt:lpstr>DE financials 2019</vt:lpstr>
      <vt:lpstr>DE operational BS 2019</vt:lpstr>
      <vt:lpstr>Statement of CF, ABC corp</vt:lpstr>
      <vt:lpstr>CSCF valuation</vt:lpstr>
      <vt:lpstr>FCF, ABC corp</vt:lpstr>
      <vt:lpstr>Proforma Model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Tal Mofkadi</cp:lastModifiedBy>
  <dcterms:created xsi:type="dcterms:W3CDTF">2012-04-27T08:00:44Z</dcterms:created>
  <dcterms:modified xsi:type="dcterms:W3CDTF">2021-04-12T12:02:42Z</dcterms:modified>
</cp:coreProperties>
</file>